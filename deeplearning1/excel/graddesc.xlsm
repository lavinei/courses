
<file path=[Content_Types].xml><?xml version="1.0" encoding="utf-8"?>
<Types xmlns="http://schemas.openxmlformats.org/package/2006/content-types">
  <Default Extension="xml" ContentType="application/xml"/>
  <Default Extension="bin" ContentType="application/vnd.openxmlformats-officedocument.spreadsheetml.printerSettings"/>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ctrlProps/ctrlProp13.xml" ContentType="application/vnd.ms-excel.controlproperties+xml"/>
  <Override PartName="/xl/ctrlProps/ctrlProp14.xml" ContentType="application/vnd.ms-excel.controlproperties+xml"/>
  <Override PartName="/xl/drawings/drawing8.xml" ContentType="application/vnd.openxmlformats-officedocument.drawing+xml"/>
  <Override PartName="/xl/ctrlProps/ctrlProp15.xml" ContentType="application/vnd.ms-excel.controlproperties+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8615" codeName="{0EBEE25D-5E30-3CCF-7B8A-937B5088EA05}"/>
  <workbookPr codeName="ThisWorkbook"/>
  <mc:AlternateContent xmlns:mc="http://schemas.openxmlformats.org/markup-compatibility/2006">
    <mc:Choice Requires="x15">
      <x15ac:absPath xmlns:x15ac="http://schemas.microsoft.com/office/spreadsheetml/2010/11/ac" url="/Users/isaaclavine/fastai/courses/deeplearning1/excel/"/>
    </mc:Choice>
  </mc:AlternateContent>
  <bookViews>
    <workbookView xWindow="0" yWindow="460" windowWidth="33600" windowHeight="18940" activeTab="9"/>
  </bookViews>
  <sheets>
    <sheet name="Intro" sheetId="20" r:id="rId1"/>
    <sheet name="data" sheetId="1" r:id="rId2"/>
    <sheet name="basic SGD" sheetId="3" r:id="rId3"/>
    <sheet name="momentum" sheetId="18" r:id="rId4"/>
    <sheet name="adagrad" sheetId="2" r:id="rId5"/>
    <sheet name="rmsprop" sheetId="13" r:id="rId6"/>
    <sheet name="adam" sheetId="15" r:id="rId7"/>
    <sheet name="eve" sheetId="16" r:id="rId8"/>
    <sheet name="adagrad_ann" sheetId="6" r:id="rId9"/>
    <sheet name="adam_ann" sheetId="19" r:id="rId10"/>
  </sheets>
  <definedNames>
    <definedName name="avg_grad2" localSheetId="9">adam_ann!$N$33</definedName>
    <definedName name="const" localSheetId="4">adagrad!$C$1</definedName>
    <definedName name="const" localSheetId="8">adagrad_ann!$C$1</definedName>
    <definedName name="const" localSheetId="6">adam!$C$1</definedName>
    <definedName name="const" localSheetId="9">adam_ann!$C$1</definedName>
    <definedName name="const" localSheetId="2">'basic SGD'!$C$1</definedName>
    <definedName name="const" localSheetId="7">eve!$C$1</definedName>
    <definedName name="const" localSheetId="3">momentum!$C$1</definedName>
    <definedName name="const" localSheetId="5">rmsprop!$C$1</definedName>
    <definedName name="dt_1" localSheetId="7">eve!$F$37</definedName>
    <definedName name="dtee" localSheetId="7">eve!$F$38</definedName>
    <definedName name="ft_1" localSheetId="7">eve!$F$34</definedName>
    <definedName name="ft_2" localSheetId="7">eve!$F$35</definedName>
    <definedName name="gradrat" localSheetId="9">adam_ann!$N$34</definedName>
    <definedName name="gradtarget" localSheetId="4">adagrad!$F$1:$G$1</definedName>
    <definedName name="gradtarget" localSheetId="8">adagrad_ann!$F$1:$G$1</definedName>
    <definedName name="gradtarget" localSheetId="6">adam!$L$33:$M$33</definedName>
    <definedName name="gradtarget" localSheetId="9">adam_ann!$L$33:$M$33</definedName>
    <definedName name="gradtarget" localSheetId="2">'basic SGD'!$K$1:$L$1</definedName>
    <definedName name="gradtarget" localSheetId="7">eve!$M$33:$N$33</definedName>
    <definedName name="gradtarget" localSheetId="3">momentum!#REF!</definedName>
    <definedName name="gradtarget" localSheetId="5">rmsprop!$J$33:$K$33</definedName>
    <definedName name="histgrad" localSheetId="4">adagrad!$F$33:$G$33</definedName>
    <definedName name="histgrad" localSheetId="8">adagrad_ann!$F$33:$G$33</definedName>
    <definedName name="histgrad" localSheetId="6">adam!$F$33:$G$33</definedName>
    <definedName name="histgrad" localSheetId="9">adam_ann!$F$33:$G$33</definedName>
    <definedName name="histgrad" localSheetId="2">'basic SGD'!$K$33:$L$33</definedName>
    <definedName name="histgrad" localSheetId="7">eve!$G$33:$H$33</definedName>
    <definedName name="histgrad" localSheetId="3">momentum!$F$33:$G$33</definedName>
    <definedName name="histgrad" localSheetId="5">rmsprop!$F$33:$G$33</definedName>
    <definedName name="lastconst" localSheetId="4">adagrad!$H$32</definedName>
    <definedName name="lastconst" localSheetId="8">adagrad_ann!$C$32</definedName>
    <definedName name="lastconst" localSheetId="6">adam!$C$32</definedName>
    <definedName name="lastconst" localSheetId="9">adam_ann!$C$32</definedName>
    <definedName name="lastconst" localSheetId="2">'basic SGD'!$C$32</definedName>
    <definedName name="lastconst" localSheetId="7">eve!$C$32</definedName>
    <definedName name="lastconst" localSheetId="3">momentum!$C$32</definedName>
    <definedName name="lastconst" localSheetId="5">rmsprop!$C$32</definedName>
    <definedName name="lastslope" localSheetId="4">adagrad!$I$32</definedName>
    <definedName name="lastslope" localSheetId="8">adagrad_ann!$D$32</definedName>
    <definedName name="lastslope" localSheetId="6">adam!$D$32</definedName>
    <definedName name="lastslope" localSheetId="9">adam_ann!$D$32</definedName>
    <definedName name="lastslope" localSheetId="2">'basic SGD'!$D$32</definedName>
    <definedName name="lastslope" localSheetId="7">eve!$D$32</definedName>
    <definedName name="lastslope" localSheetId="3">momentum!$D$32</definedName>
    <definedName name="lastslope" localSheetId="5">rmsprop!$D$32</definedName>
    <definedName name="loss" localSheetId="7">eve!$F$33</definedName>
    <definedName name="lr" localSheetId="6">adam!$D$2</definedName>
    <definedName name="lr" localSheetId="9">adam_ann!$D$2</definedName>
    <definedName name="lr" localSheetId="7">eve!$D$2</definedName>
    <definedName name="lr" localSheetId="3">momentum!$D$2</definedName>
    <definedName name="max_clipped" localSheetId="6">adam!$O$34</definedName>
    <definedName name="max_clipped" localSheetId="9">adam_ann!$O$34</definedName>
    <definedName name="max_clipped" localSheetId="7">eve!$P$34</definedName>
    <definedName name="max_clipped" localSheetId="3">momentum!$M$34</definedName>
    <definedName name="max_clipped" localSheetId="5">rmsprop!$K$34</definedName>
    <definedName name="momlast" localSheetId="6">adam!$J$32:$K$32</definedName>
    <definedName name="momlast" localSheetId="9">adam_ann!$J$32:$K$32</definedName>
    <definedName name="momlast" localSheetId="7">eve!$K$32:$L$32</definedName>
    <definedName name="momlast" localSheetId="3">momentum!$J$32:$K$32</definedName>
    <definedName name="momtarget" localSheetId="6">adam!$J$33:$K$33</definedName>
    <definedName name="momtarget" localSheetId="9">adam_ann!$J$33:$K$33</definedName>
    <definedName name="momtarget" localSheetId="7">eve!$K$33:$L$33</definedName>
    <definedName name="momtarget" localSheetId="3">momentum!$J$33:$K$33</definedName>
    <definedName name="ms_last" localSheetId="6">adam!$L$32:$M$32</definedName>
    <definedName name="ms_last" localSheetId="9">adam_ann!$L$32:$M$32</definedName>
    <definedName name="ms_last" localSheetId="7">eve!$M$32:$N$32</definedName>
    <definedName name="ms_last" localSheetId="3">momentum!#REF!</definedName>
    <definedName name="ms_last" localSheetId="5">rmsprop!$J$32:$K$32</definedName>
    <definedName name="pct_clipped" localSheetId="6">adam!$O$33</definedName>
    <definedName name="pct_clipped" localSheetId="9">adam_ann!$O$33</definedName>
    <definedName name="pct_clipped" localSheetId="7">eve!$P$33</definedName>
    <definedName name="pct_clipped" localSheetId="3">momentum!$M$33</definedName>
    <definedName name="pct_clipped" localSheetId="5">rmsprop!#REF!</definedName>
    <definedName name="prev_grad2" localSheetId="9">adam_ann!$N$3</definedName>
    <definedName name="rmse" localSheetId="2">'basic SGD'!$F$33</definedName>
    <definedName name="rmses" localSheetId="2">'basic SGD'!$C$38:$C$106</definedName>
    <definedName name="rmsestart" localSheetId="2">'basic SGD'!$C$36</definedName>
    <definedName name="rtee" localSheetId="7">eve!$F$36</definedName>
    <definedName name="slope" localSheetId="4">adagrad!$C$2</definedName>
    <definedName name="slope" localSheetId="8">adagrad_ann!$C$2</definedName>
    <definedName name="slope" localSheetId="6">adam!$C$2</definedName>
    <definedName name="slope" localSheetId="9">adam_ann!$C$2</definedName>
    <definedName name="slope" localSheetId="2">'basic SGD'!$C$2</definedName>
    <definedName name="slope" localSheetId="7">eve!$C$2</definedName>
    <definedName name="slope" localSheetId="3">momentum!$C$2</definedName>
    <definedName name="slope" localSheetId="5">rmsprop!$C$2</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 uri="{140A7094-0E35-4892-8432-C4D2E57EDEB5}">
      <x15:workbookPr chartTrackingRefBase="1"/>
    </ext>
  </extLst>
</workbook>
</file>

<file path=xl/calcChain.xml><?xml version="1.0" encoding="utf-8"?>
<calcChain xmlns="http://schemas.openxmlformats.org/spreadsheetml/2006/main">
  <c r="C4" i="3" l="1"/>
  <c r="D4" i="3"/>
  <c r="E4" i="3"/>
  <c r="K4" i="3"/>
  <c r="N4" i="3"/>
  <c r="L4" i="3"/>
  <c r="M4" i="3"/>
  <c r="F5" i="13"/>
  <c r="I4" i="13"/>
  <c r="J5" i="13"/>
  <c r="K5" i="13"/>
  <c r="K1" i="13"/>
  <c r="J6" i="13"/>
  <c r="F2" i="2"/>
  <c r="H4" i="2"/>
  <c r="C5" i="2"/>
  <c r="F5" i="2"/>
  <c r="G5" i="2"/>
  <c r="I5" i="2"/>
  <c r="D6" i="2"/>
  <c r="H5" i="2"/>
  <c r="C6" i="2"/>
  <c r="F6" i="2"/>
  <c r="G6" i="2"/>
  <c r="I6" i="2"/>
  <c r="D7" i="2"/>
  <c r="H6" i="2"/>
  <c r="C7" i="2"/>
  <c r="F7" i="2"/>
  <c r="G7" i="2"/>
  <c r="I7" i="2"/>
  <c r="D8" i="2"/>
  <c r="H7" i="2"/>
  <c r="C8" i="2"/>
  <c r="F8" i="2"/>
  <c r="G8" i="2"/>
  <c r="I8" i="2"/>
  <c r="D9" i="2"/>
  <c r="H8" i="2"/>
  <c r="C9" i="2"/>
  <c r="F9" i="2"/>
  <c r="G9" i="2"/>
  <c r="I9" i="2"/>
  <c r="D10" i="2"/>
  <c r="H9" i="2"/>
  <c r="C10" i="2"/>
  <c r="F10" i="2"/>
  <c r="G10" i="2"/>
  <c r="I10" i="2"/>
  <c r="D11" i="2"/>
  <c r="H10" i="2"/>
  <c r="C11" i="2"/>
  <c r="F11" i="2"/>
  <c r="G11" i="2"/>
  <c r="I11" i="2"/>
  <c r="D12" i="2"/>
  <c r="H11" i="2"/>
  <c r="C12" i="2"/>
  <c r="F12" i="2"/>
  <c r="G12" i="2"/>
  <c r="I12" i="2"/>
  <c r="D13" i="2"/>
  <c r="H12" i="2"/>
  <c r="C13" i="2"/>
  <c r="F13" i="2"/>
  <c r="G13" i="2"/>
  <c r="I13" i="2"/>
  <c r="D14" i="2"/>
  <c r="H13" i="2"/>
  <c r="C14" i="2"/>
  <c r="F14" i="2"/>
  <c r="G14" i="2"/>
  <c r="I14" i="2"/>
  <c r="D15" i="2"/>
  <c r="H14" i="2"/>
  <c r="C15" i="2"/>
  <c r="F15" i="2"/>
  <c r="G15" i="2"/>
  <c r="I15" i="2"/>
  <c r="D16" i="2"/>
  <c r="H15" i="2"/>
  <c r="C16" i="2"/>
  <c r="F16" i="2"/>
  <c r="G16" i="2"/>
  <c r="I16" i="2"/>
  <c r="D17" i="2"/>
  <c r="H16" i="2"/>
  <c r="C17" i="2"/>
  <c r="F17" i="2"/>
  <c r="G17" i="2"/>
  <c r="I17" i="2"/>
  <c r="D18" i="2"/>
  <c r="H17" i="2"/>
  <c r="C18" i="2"/>
  <c r="F18" i="2"/>
  <c r="G18" i="2"/>
  <c r="I18" i="2"/>
  <c r="D19" i="2"/>
  <c r="H18" i="2"/>
  <c r="C19" i="2"/>
  <c r="F19" i="2"/>
  <c r="G19" i="2"/>
  <c r="I19" i="2"/>
  <c r="D20" i="2"/>
  <c r="H19" i="2"/>
  <c r="C20" i="2"/>
  <c r="F20" i="2"/>
  <c r="G20" i="2"/>
  <c r="I20" i="2"/>
  <c r="D21" i="2"/>
  <c r="H20" i="2"/>
  <c r="C21" i="2"/>
  <c r="F21" i="2"/>
  <c r="G21" i="2"/>
  <c r="I21" i="2"/>
  <c r="D22" i="2"/>
  <c r="H21" i="2"/>
  <c r="C22" i="2"/>
  <c r="F22" i="2"/>
  <c r="G22" i="2"/>
  <c r="I22" i="2"/>
  <c r="D23" i="2"/>
  <c r="H22" i="2"/>
  <c r="C23" i="2"/>
  <c r="F23" i="2"/>
  <c r="G23" i="2"/>
  <c r="I23" i="2"/>
  <c r="D24" i="2"/>
  <c r="H23" i="2"/>
  <c r="C24" i="2"/>
  <c r="F24" i="2"/>
  <c r="G24" i="2"/>
  <c r="I24" i="2"/>
  <c r="D25" i="2"/>
  <c r="H24" i="2"/>
  <c r="C25" i="2"/>
  <c r="F25" i="2"/>
  <c r="G25" i="2"/>
  <c r="I25" i="2"/>
  <c r="D26" i="2"/>
  <c r="H25" i="2"/>
  <c r="C26" i="2"/>
  <c r="F26" i="2"/>
  <c r="G26" i="2"/>
  <c r="I26" i="2"/>
  <c r="D27" i="2"/>
  <c r="H26" i="2"/>
  <c r="C27" i="2"/>
  <c r="F27" i="2"/>
  <c r="G27" i="2"/>
  <c r="I27" i="2"/>
  <c r="D28" i="2"/>
  <c r="H27" i="2"/>
  <c r="C28" i="2"/>
  <c r="F28" i="2"/>
  <c r="G28" i="2"/>
  <c r="I28" i="2"/>
  <c r="D29" i="2"/>
  <c r="H28" i="2"/>
  <c r="C29" i="2"/>
  <c r="F29" i="2"/>
  <c r="G29" i="2"/>
  <c r="I29" i="2"/>
  <c r="D30" i="2"/>
  <c r="H29" i="2"/>
  <c r="C30" i="2"/>
  <c r="F30" i="2"/>
  <c r="G30" i="2"/>
  <c r="I30" i="2"/>
  <c r="D31" i="2"/>
  <c r="H30" i="2"/>
  <c r="C31" i="2"/>
  <c r="F31" i="2"/>
  <c r="G31" i="2"/>
  <c r="I31" i="2"/>
  <c r="D32" i="2"/>
  <c r="H31" i="2"/>
  <c r="C32" i="2"/>
  <c r="F32" i="2"/>
  <c r="F33" i="2"/>
  <c r="J3" i="19"/>
  <c r="D4" i="19"/>
  <c r="C4" i="19"/>
  <c r="F4" i="19"/>
  <c r="J4" i="19"/>
  <c r="J5" i="19"/>
  <c r="L3" i="19"/>
  <c r="L4" i="19"/>
  <c r="H4" i="19"/>
  <c r="C5" i="19"/>
  <c r="K3" i="19"/>
  <c r="G4" i="19"/>
  <c r="K4" i="19"/>
  <c r="M3" i="19"/>
  <c r="M4" i="19"/>
  <c r="I4" i="19"/>
  <c r="D5" i="19"/>
  <c r="F5" i="19"/>
  <c r="L5" i="19"/>
  <c r="H5" i="19"/>
  <c r="J3" i="18"/>
  <c r="D4" i="18"/>
  <c r="C4" i="18"/>
  <c r="F4" i="18"/>
  <c r="J4" i="18"/>
  <c r="K3" i="18"/>
  <c r="G4" i="18"/>
  <c r="K4" i="18"/>
  <c r="I4" i="18"/>
  <c r="D5" i="18"/>
  <c r="H4" i="18"/>
  <c r="C5" i="18"/>
  <c r="F5" i="18"/>
  <c r="J5" i="18"/>
  <c r="K6" i="13"/>
  <c r="F8" i="13"/>
  <c r="N33" i="19"/>
  <c r="L34" i="19"/>
  <c r="K34" i="19"/>
  <c r="M1" i="19"/>
  <c r="K1" i="19"/>
  <c r="F36" i="16"/>
  <c r="F38" i="16"/>
  <c r="K1" i="18"/>
  <c r="E4" i="19"/>
  <c r="E4" i="18"/>
  <c r="D4" i="16"/>
  <c r="C4" i="16"/>
  <c r="N3" i="16"/>
  <c r="M3" i="16"/>
  <c r="L3" i="16"/>
  <c r="K3" i="16"/>
  <c r="N1" i="16"/>
  <c r="L1" i="16"/>
  <c r="H5" i="18"/>
  <c r="E4" i="16"/>
  <c r="F4" i="16"/>
  <c r="G4" i="16"/>
  <c r="H4" i="16"/>
  <c r="N4" i="16"/>
  <c r="K3" i="15"/>
  <c r="J3" i="15"/>
  <c r="K1" i="15"/>
  <c r="D4" i="15"/>
  <c r="C4" i="15"/>
  <c r="M3" i="15"/>
  <c r="L3" i="15"/>
  <c r="M1" i="15"/>
  <c r="E5" i="19"/>
  <c r="E5" i="18"/>
  <c r="G5" i="18"/>
  <c r="L4" i="16"/>
  <c r="K4" i="16"/>
  <c r="M4" i="16"/>
  <c r="F4" i="15"/>
  <c r="E4" i="15"/>
  <c r="K3" i="13"/>
  <c r="J3" i="13"/>
  <c r="D4" i="13"/>
  <c r="C4" i="13"/>
  <c r="I4" i="16"/>
  <c r="C5" i="16"/>
  <c r="J4" i="16"/>
  <c r="D5" i="16"/>
  <c r="K5" i="18"/>
  <c r="I5" i="18"/>
  <c r="C6" i="18"/>
  <c r="G4" i="15"/>
  <c r="J4" i="15"/>
  <c r="L4" i="15"/>
  <c r="F4" i="13"/>
  <c r="J4" i="13"/>
  <c r="E4" i="13"/>
  <c r="G5" i="19"/>
  <c r="K5" i="19"/>
  <c r="E5" i="16"/>
  <c r="F5" i="16"/>
  <c r="D6" i="18"/>
  <c r="G5" i="16"/>
  <c r="H5" i="16"/>
  <c r="H4" i="15"/>
  <c r="C5" i="15"/>
  <c r="K4" i="15"/>
  <c r="M4" i="15"/>
  <c r="G4" i="13"/>
  <c r="H4" i="13"/>
  <c r="C5" i="13"/>
  <c r="M5" i="19"/>
  <c r="I5" i="19"/>
  <c r="D6" i="19"/>
  <c r="C6" i="19"/>
  <c r="F6" i="18"/>
  <c r="E6" i="18"/>
  <c r="M5" i="16"/>
  <c r="K5" i="16"/>
  <c r="L5" i="16"/>
  <c r="N5" i="16"/>
  <c r="I4" i="15"/>
  <c r="D5" i="15"/>
  <c r="F5" i="15"/>
  <c r="K4" i="13"/>
  <c r="D5" i="13"/>
  <c r="F6" i="19"/>
  <c r="G6" i="19"/>
  <c r="E6" i="19"/>
  <c r="I5" i="16"/>
  <c r="C6" i="16"/>
  <c r="J5" i="16"/>
  <c r="D6" i="16"/>
  <c r="G6" i="18"/>
  <c r="J6" i="18"/>
  <c r="H6" i="18"/>
  <c r="E5" i="15"/>
  <c r="J5" i="15"/>
  <c r="L5" i="15"/>
  <c r="G5" i="15"/>
  <c r="E5" i="13"/>
  <c r="D4" i="6"/>
  <c r="C4" i="6"/>
  <c r="G2" i="6"/>
  <c r="F2" i="6"/>
  <c r="J6" i="19"/>
  <c r="L6" i="19"/>
  <c r="C7" i="18"/>
  <c r="K6" i="18"/>
  <c r="I6" i="18"/>
  <c r="G6" i="16"/>
  <c r="E6" i="16"/>
  <c r="F6" i="16"/>
  <c r="H5" i="15"/>
  <c r="C6" i="15"/>
  <c r="K5" i="15"/>
  <c r="M5" i="15"/>
  <c r="H5" i="13"/>
  <c r="C6" i="13"/>
  <c r="G5" i="13"/>
  <c r="E4" i="6"/>
  <c r="F4" i="6"/>
  <c r="G2" i="2"/>
  <c r="D4" i="2"/>
  <c r="B7" i="1"/>
  <c r="C7" i="1"/>
  <c r="B8" i="1"/>
  <c r="C8" i="1"/>
  <c r="B9" i="1"/>
  <c r="C9" i="1"/>
  <c r="B10" i="1"/>
  <c r="C10" i="1"/>
  <c r="B11" i="1"/>
  <c r="C11" i="1"/>
  <c r="B12" i="1"/>
  <c r="C12" i="1"/>
  <c r="B13" i="1"/>
  <c r="C13" i="1"/>
  <c r="B14" i="1"/>
  <c r="C14" i="1"/>
  <c r="B15" i="1"/>
  <c r="C15" i="1"/>
  <c r="B16" i="1"/>
  <c r="C16" i="1"/>
  <c r="B17" i="1"/>
  <c r="C17" i="1"/>
  <c r="B18" i="1"/>
  <c r="C18" i="1"/>
  <c r="B19" i="1"/>
  <c r="C19" i="1"/>
  <c r="B20" i="1"/>
  <c r="C20" i="1"/>
  <c r="B21" i="1"/>
  <c r="C21" i="1"/>
  <c r="B22" i="1"/>
  <c r="C22" i="1"/>
  <c r="B23" i="1"/>
  <c r="C23" i="1"/>
  <c r="B24" i="1"/>
  <c r="C24" i="1"/>
  <c r="B25" i="1"/>
  <c r="C25" i="1"/>
  <c r="B26" i="1"/>
  <c r="C26" i="1"/>
  <c r="B27" i="1"/>
  <c r="C27" i="1"/>
  <c r="B28" i="1"/>
  <c r="C28" i="1"/>
  <c r="B29" i="1"/>
  <c r="C29" i="1"/>
  <c r="B30" i="1"/>
  <c r="C30" i="1"/>
  <c r="B31" i="1"/>
  <c r="C31" i="1"/>
  <c r="B32" i="1"/>
  <c r="C32" i="1"/>
  <c r="B33" i="1"/>
  <c r="C33" i="1"/>
  <c r="B34" i="1"/>
  <c r="C34" i="1"/>
  <c r="B6" i="1"/>
  <c r="C6" i="1"/>
  <c r="G4" i="3"/>
  <c r="H6" i="19"/>
  <c r="C7" i="19"/>
  <c r="K6" i="19"/>
  <c r="M6" i="19"/>
  <c r="D7" i="18"/>
  <c r="H6" i="16"/>
  <c r="M6" i="16"/>
  <c r="K6" i="16"/>
  <c r="I5" i="15"/>
  <c r="D6" i="15"/>
  <c r="F6" i="15"/>
  <c r="I5" i="13"/>
  <c r="D6" i="13"/>
  <c r="G4" i="6"/>
  <c r="I4" i="6"/>
  <c r="C5" i="6"/>
  <c r="I4" i="3"/>
  <c r="C4" i="2"/>
  <c r="F4" i="2"/>
  <c r="I6" i="19"/>
  <c r="D7" i="19"/>
  <c r="I6" i="16"/>
  <c r="C7" i="16"/>
  <c r="E7" i="18"/>
  <c r="F7" i="18"/>
  <c r="N6" i="16"/>
  <c r="L6" i="16"/>
  <c r="E6" i="15"/>
  <c r="G6" i="15"/>
  <c r="L6" i="15"/>
  <c r="J6" i="15"/>
  <c r="F6" i="13"/>
  <c r="E6" i="13"/>
  <c r="F4" i="3"/>
  <c r="J4" i="3"/>
  <c r="C5" i="3"/>
  <c r="G4" i="2"/>
  <c r="I4" i="2"/>
  <c r="H4" i="6"/>
  <c r="D5" i="6"/>
  <c r="E5" i="6"/>
  <c r="E4" i="2"/>
  <c r="H4" i="3"/>
  <c r="F7" i="19"/>
  <c r="E7" i="19"/>
  <c r="J6" i="16"/>
  <c r="D7" i="16"/>
  <c r="G7" i="18"/>
  <c r="J7" i="18"/>
  <c r="H7" i="18"/>
  <c r="H6" i="15"/>
  <c r="C7" i="15"/>
  <c r="M6" i="15"/>
  <c r="K6" i="15"/>
  <c r="H6" i="13"/>
  <c r="C7" i="13"/>
  <c r="G6" i="13"/>
  <c r="D5" i="3"/>
  <c r="E5" i="3"/>
  <c r="F5" i="3"/>
  <c r="D5" i="2"/>
  <c r="F5" i="6"/>
  <c r="G7" i="19"/>
  <c r="L7" i="19"/>
  <c r="J7" i="19"/>
  <c r="E7" i="16"/>
  <c r="F7" i="16"/>
  <c r="K7" i="18"/>
  <c r="I7" i="18"/>
  <c r="C8" i="18"/>
  <c r="G7" i="16"/>
  <c r="I6" i="15"/>
  <c r="D7" i="15"/>
  <c r="I6" i="13"/>
  <c r="D7" i="13"/>
  <c r="G5" i="6"/>
  <c r="I5" i="6"/>
  <c r="C6" i="6"/>
  <c r="G5" i="3"/>
  <c r="I5" i="3"/>
  <c r="E5" i="2"/>
  <c r="H7" i="19"/>
  <c r="C8" i="19"/>
  <c r="M7" i="19"/>
  <c r="K7" i="19"/>
  <c r="D8" i="18"/>
  <c r="H7" i="16"/>
  <c r="M7" i="16"/>
  <c r="K7" i="16"/>
  <c r="F7" i="15"/>
  <c r="E7" i="15"/>
  <c r="F7" i="13"/>
  <c r="E7" i="13"/>
  <c r="J5" i="3"/>
  <c r="K5" i="3"/>
  <c r="N5" i="3"/>
  <c r="C6" i="3"/>
  <c r="H5" i="6"/>
  <c r="D6" i="6"/>
  <c r="I7" i="19"/>
  <c r="D8" i="19"/>
  <c r="E8" i="19"/>
  <c r="I7" i="16"/>
  <c r="C8" i="16"/>
  <c r="E8" i="18"/>
  <c r="F8" i="18"/>
  <c r="N7" i="16"/>
  <c r="L7" i="16"/>
  <c r="J7" i="15"/>
  <c r="L7" i="15"/>
  <c r="G7" i="15"/>
  <c r="J7" i="13"/>
  <c r="H7" i="13"/>
  <c r="C8" i="13"/>
  <c r="G7" i="13"/>
  <c r="H5" i="3"/>
  <c r="L5" i="3"/>
  <c r="M5" i="3"/>
  <c r="D6" i="3"/>
  <c r="G6" i="3"/>
  <c r="E6" i="6"/>
  <c r="F6" i="6"/>
  <c r="F8" i="19"/>
  <c r="J7" i="16"/>
  <c r="D8" i="16"/>
  <c r="G8" i="18"/>
  <c r="J8" i="18"/>
  <c r="H8" i="18"/>
  <c r="H7" i="15"/>
  <c r="C8" i="15"/>
  <c r="M7" i="15"/>
  <c r="K7" i="15"/>
  <c r="K7" i="13"/>
  <c r="I7" i="13"/>
  <c r="D8" i="13"/>
  <c r="E8" i="13"/>
  <c r="E6" i="3"/>
  <c r="F6" i="3"/>
  <c r="I6" i="3"/>
  <c r="G6" i="6"/>
  <c r="I6" i="6"/>
  <c r="C7" i="6"/>
  <c r="E6" i="2"/>
  <c r="K6" i="3"/>
  <c r="N6" i="3"/>
  <c r="C7" i="3"/>
  <c r="G8" i="19"/>
  <c r="J8" i="19"/>
  <c r="L8" i="19"/>
  <c r="C9" i="18"/>
  <c r="K8" i="18"/>
  <c r="I8" i="18"/>
  <c r="G8" i="16"/>
  <c r="E8" i="16"/>
  <c r="F8" i="16"/>
  <c r="I7" i="15"/>
  <c r="D8" i="15"/>
  <c r="E8" i="15"/>
  <c r="J6" i="3"/>
  <c r="H6" i="3"/>
  <c r="H6" i="6"/>
  <c r="D7" i="6"/>
  <c r="L6" i="3"/>
  <c r="M6" i="3"/>
  <c r="D7" i="3"/>
  <c r="G7" i="3"/>
  <c r="H8" i="19"/>
  <c r="C9" i="19"/>
  <c r="M8" i="19"/>
  <c r="K8" i="19"/>
  <c r="D9" i="18"/>
  <c r="H8" i="16"/>
  <c r="M8" i="16"/>
  <c r="K8" i="16"/>
  <c r="F8" i="15"/>
  <c r="J8" i="13"/>
  <c r="H8" i="13"/>
  <c r="C9" i="13"/>
  <c r="G8" i="13"/>
  <c r="E7" i="6"/>
  <c r="F7" i="6"/>
  <c r="I7" i="3"/>
  <c r="E7" i="3"/>
  <c r="F7" i="3"/>
  <c r="I8" i="19"/>
  <c r="D9" i="19"/>
  <c r="I8" i="16"/>
  <c r="C9" i="16"/>
  <c r="E9" i="18"/>
  <c r="F9" i="18"/>
  <c r="N8" i="16"/>
  <c r="L8" i="16"/>
  <c r="L8" i="15"/>
  <c r="J8" i="15"/>
  <c r="G8" i="15"/>
  <c r="K8" i="13"/>
  <c r="I8" i="13"/>
  <c r="D9" i="13"/>
  <c r="G7" i="6"/>
  <c r="I7" i="6"/>
  <c r="C8" i="6"/>
  <c r="E7" i="2"/>
  <c r="K7" i="3"/>
  <c r="L7" i="3"/>
  <c r="M7" i="3"/>
  <c r="D8" i="3"/>
  <c r="F9" i="19"/>
  <c r="E9" i="19"/>
  <c r="J8" i="16"/>
  <c r="D9" i="16"/>
  <c r="G9" i="18"/>
  <c r="J9" i="18"/>
  <c r="H9" i="18"/>
  <c r="H8" i="15"/>
  <c r="C9" i="15"/>
  <c r="K8" i="15"/>
  <c r="M8" i="15"/>
  <c r="F9" i="13"/>
  <c r="E9" i="13"/>
  <c r="H7" i="3"/>
  <c r="J7" i="3"/>
  <c r="H7" i="6"/>
  <c r="D8" i="6"/>
  <c r="N7" i="3"/>
  <c r="C8" i="3"/>
  <c r="E8" i="3"/>
  <c r="K8" i="3"/>
  <c r="N8" i="3"/>
  <c r="C9" i="3"/>
  <c r="G9" i="19"/>
  <c r="L9" i="19"/>
  <c r="J9" i="19"/>
  <c r="E9" i="16"/>
  <c r="F9" i="16"/>
  <c r="C10" i="18"/>
  <c r="K9" i="18"/>
  <c r="I9" i="18"/>
  <c r="G9" i="16"/>
  <c r="I8" i="15"/>
  <c r="D9" i="15"/>
  <c r="F9" i="15"/>
  <c r="J9" i="13"/>
  <c r="G9" i="13"/>
  <c r="H9" i="13"/>
  <c r="C10" i="13"/>
  <c r="E8" i="6"/>
  <c r="F8" i="6"/>
  <c r="I8" i="3"/>
  <c r="G8" i="3"/>
  <c r="H9" i="19"/>
  <c r="C10" i="19"/>
  <c r="M9" i="19"/>
  <c r="K9" i="19"/>
  <c r="D10" i="18"/>
  <c r="H9" i="16"/>
  <c r="K9" i="16"/>
  <c r="M9" i="16"/>
  <c r="G9" i="15"/>
  <c r="L9" i="15"/>
  <c r="J9" i="15"/>
  <c r="E9" i="15"/>
  <c r="F8" i="3"/>
  <c r="K9" i="13"/>
  <c r="I9" i="13"/>
  <c r="D10" i="13"/>
  <c r="L8" i="3"/>
  <c r="M8" i="3"/>
  <c r="D9" i="3"/>
  <c r="E9" i="3"/>
  <c r="E8" i="2"/>
  <c r="G8" i="6"/>
  <c r="I8" i="6"/>
  <c r="C9" i="6"/>
  <c r="J8" i="3"/>
  <c r="I9" i="19"/>
  <c r="D10" i="19"/>
  <c r="E10" i="19"/>
  <c r="I9" i="16"/>
  <c r="C10" i="16"/>
  <c r="E10" i="18"/>
  <c r="F10" i="18"/>
  <c r="L9" i="16"/>
  <c r="N9" i="16"/>
  <c r="K9" i="15"/>
  <c r="M9" i="15"/>
  <c r="H9" i="15"/>
  <c r="C10" i="15"/>
  <c r="H8" i="3"/>
  <c r="E10" i="13"/>
  <c r="F10" i="13"/>
  <c r="F9" i="3"/>
  <c r="K9" i="3"/>
  <c r="N9" i="3"/>
  <c r="H8" i="6"/>
  <c r="D9" i="6"/>
  <c r="G9" i="3"/>
  <c r="I9" i="3"/>
  <c r="F10" i="19"/>
  <c r="J9" i="16"/>
  <c r="D10" i="16"/>
  <c r="G10" i="18"/>
  <c r="J10" i="18"/>
  <c r="H10" i="18"/>
  <c r="I9" i="15"/>
  <c r="D10" i="15"/>
  <c r="F10" i="15"/>
  <c r="H9" i="3"/>
  <c r="J9" i="3"/>
  <c r="J10" i="13"/>
  <c r="G10" i="13"/>
  <c r="H10" i="13"/>
  <c r="C11" i="13"/>
  <c r="F9" i="6"/>
  <c r="E9" i="6"/>
  <c r="L9" i="3"/>
  <c r="M9" i="3"/>
  <c r="D10" i="3"/>
  <c r="C10" i="3"/>
  <c r="G10" i="19"/>
  <c r="J10" i="19"/>
  <c r="L10" i="19"/>
  <c r="C11" i="18"/>
  <c r="K10" i="18"/>
  <c r="I10" i="18"/>
  <c r="G10" i="16"/>
  <c r="E10" i="16"/>
  <c r="F10" i="16"/>
  <c r="E10" i="15"/>
  <c r="J10" i="15"/>
  <c r="G10" i="15"/>
  <c r="L10" i="15"/>
  <c r="K10" i="13"/>
  <c r="I10" i="13"/>
  <c r="D11" i="13"/>
  <c r="E9" i="2"/>
  <c r="G9" i="6"/>
  <c r="H9" i="6"/>
  <c r="D10" i="6"/>
  <c r="I9" i="6"/>
  <c r="C10" i="6"/>
  <c r="E10" i="3"/>
  <c r="I10" i="3"/>
  <c r="G10" i="3"/>
  <c r="H10" i="19"/>
  <c r="C11" i="19"/>
  <c r="M10" i="19"/>
  <c r="K10" i="19"/>
  <c r="D11" i="18"/>
  <c r="H10" i="16"/>
  <c r="M10" i="16"/>
  <c r="K10" i="16"/>
  <c r="K10" i="15"/>
  <c r="H10" i="15"/>
  <c r="C11" i="15"/>
  <c r="M10" i="15"/>
  <c r="F11" i="13"/>
  <c r="E11" i="13"/>
  <c r="F10" i="3"/>
  <c r="H10" i="3"/>
  <c r="K10" i="3"/>
  <c r="L10" i="3"/>
  <c r="M10" i="3"/>
  <c r="D11" i="3"/>
  <c r="E10" i="6"/>
  <c r="F10" i="6"/>
  <c r="G10" i="6"/>
  <c r="H10" i="6"/>
  <c r="D11" i="6"/>
  <c r="I10" i="19"/>
  <c r="D11" i="19"/>
  <c r="E11" i="19"/>
  <c r="I10" i="16"/>
  <c r="C11" i="16"/>
  <c r="E11" i="18"/>
  <c r="F11" i="18"/>
  <c r="N10" i="16"/>
  <c r="L10" i="16"/>
  <c r="I10" i="15"/>
  <c r="D11" i="15"/>
  <c r="E11" i="15"/>
  <c r="J11" i="13"/>
  <c r="G11" i="13"/>
  <c r="H11" i="13"/>
  <c r="C12" i="13"/>
  <c r="J10" i="3"/>
  <c r="N10" i="3"/>
  <c r="C11" i="3"/>
  <c r="E11" i="3"/>
  <c r="I10" i="6"/>
  <c r="C11" i="6"/>
  <c r="F11" i="19"/>
  <c r="J10" i="16"/>
  <c r="D11" i="16"/>
  <c r="G11" i="18"/>
  <c r="J11" i="18"/>
  <c r="H11" i="18"/>
  <c r="F11" i="15"/>
  <c r="K11" i="13"/>
  <c r="I11" i="13"/>
  <c r="D12" i="13"/>
  <c r="G11" i="3"/>
  <c r="E10" i="2"/>
  <c r="F11" i="3"/>
  <c r="K11" i="3"/>
  <c r="L11" i="3"/>
  <c r="M11" i="3"/>
  <c r="D12" i="3"/>
  <c r="I11" i="3"/>
  <c r="E11" i="6"/>
  <c r="F11" i="6"/>
  <c r="G11" i="6"/>
  <c r="H11" i="6"/>
  <c r="D12" i="6"/>
  <c r="G11" i="19"/>
  <c r="L11" i="19"/>
  <c r="J11" i="19"/>
  <c r="E11" i="16"/>
  <c r="F11" i="16"/>
  <c r="C12" i="18"/>
  <c r="K11" i="18"/>
  <c r="I11" i="18"/>
  <c r="G11" i="16"/>
  <c r="G11" i="15"/>
  <c r="L11" i="15"/>
  <c r="J11" i="15"/>
  <c r="E12" i="13"/>
  <c r="F12" i="13"/>
  <c r="J11" i="3"/>
  <c r="H11" i="3"/>
  <c r="N11" i="3"/>
  <c r="C12" i="3"/>
  <c r="I12" i="3"/>
  <c r="I11" i="6"/>
  <c r="C12" i="6"/>
  <c r="H11" i="19"/>
  <c r="C12" i="19"/>
  <c r="M11" i="19"/>
  <c r="K11" i="19"/>
  <c r="D12" i="18"/>
  <c r="H11" i="16"/>
  <c r="K11" i="16"/>
  <c r="M11" i="16"/>
  <c r="K11" i="15"/>
  <c r="M11" i="15"/>
  <c r="H11" i="15"/>
  <c r="C12" i="15"/>
  <c r="J12" i="13"/>
  <c r="H12" i="13"/>
  <c r="C13" i="13"/>
  <c r="G12" i="13"/>
  <c r="E12" i="3"/>
  <c r="G12" i="3"/>
  <c r="E12" i="6"/>
  <c r="F12" i="6"/>
  <c r="G12" i="6"/>
  <c r="H12" i="6"/>
  <c r="D13" i="6"/>
  <c r="I11" i="19"/>
  <c r="D12" i="19"/>
  <c r="I11" i="16"/>
  <c r="C12" i="16"/>
  <c r="E12" i="18"/>
  <c r="F12" i="18"/>
  <c r="L11" i="16"/>
  <c r="N11" i="16"/>
  <c r="I11" i="15"/>
  <c r="D12" i="15"/>
  <c r="E12" i="15"/>
  <c r="K12" i="13"/>
  <c r="I12" i="13"/>
  <c r="D13" i="13"/>
  <c r="E13" i="13"/>
  <c r="E11" i="2"/>
  <c r="F12" i="3"/>
  <c r="J12" i="3"/>
  <c r="K12" i="3"/>
  <c r="I12" i="6"/>
  <c r="C13" i="6"/>
  <c r="F12" i="19"/>
  <c r="E12" i="19"/>
  <c r="J11" i="16"/>
  <c r="D12" i="16"/>
  <c r="G12" i="18"/>
  <c r="J12" i="18"/>
  <c r="H12" i="18"/>
  <c r="F12" i="15"/>
  <c r="F13" i="13"/>
  <c r="L12" i="3"/>
  <c r="M12" i="3"/>
  <c r="D13" i="3"/>
  <c r="N12" i="3"/>
  <c r="C13" i="3"/>
  <c r="H12" i="3"/>
  <c r="E13" i="6"/>
  <c r="F13" i="6"/>
  <c r="G13" i="6"/>
  <c r="H13" i="6"/>
  <c r="D14" i="6"/>
  <c r="G12" i="19"/>
  <c r="J12" i="19"/>
  <c r="L12" i="19"/>
  <c r="E12" i="16"/>
  <c r="F12" i="16"/>
  <c r="C13" i="18"/>
  <c r="K12" i="18"/>
  <c r="I12" i="18"/>
  <c r="G12" i="16"/>
  <c r="L12" i="15"/>
  <c r="G12" i="15"/>
  <c r="J12" i="15"/>
  <c r="J13" i="13"/>
  <c r="G13" i="13"/>
  <c r="H13" i="13"/>
  <c r="C14" i="13"/>
  <c r="E13" i="3"/>
  <c r="G13" i="3"/>
  <c r="I13" i="3"/>
  <c r="I13" i="6"/>
  <c r="C14" i="6"/>
  <c r="H12" i="19"/>
  <c r="C13" i="19"/>
  <c r="K12" i="19"/>
  <c r="M12" i="19"/>
  <c r="D13" i="18"/>
  <c r="H12" i="16"/>
  <c r="K12" i="16"/>
  <c r="M12" i="16"/>
  <c r="H12" i="15"/>
  <c r="C13" i="15"/>
  <c r="K12" i="15"/>
  <c r="M12" i="15"/>
  <c r="K13" i="13"/>
  <c r="I13" i="13"/>
  <c r="D14" i="13"/>
  <c r="E12" i="2"/>
  <c r="F13" i="3"/>
  <c r="H13" i="3"/>
  <c r="K13" i="3"/>
  <c r="E14" i="6"/>
  <c r="F14" i="6"/>
  <c r="G14" i="6"/>
  <c r="H14" i="6"/>
  <c r="D15" i="6"/>
  <c r="I12" i="19"/>
  <c r="D13" i="19"/>
  <c r="I12" i="16"/>
  <c r="C13" i="16"/>
  <c r="F13" i="18"/>
  <c r="E13" i="18"/>
  <c r="N12" i="16"/>
  <c r="L12" i="16"/>
  <c r="I12" i="15"/>
  <c r="D13" i="15"/>
  <c r="F13" i="15"/>
  <c r="F14" i="13"/>
  <c r="E14" i="13"/>
  <c r="J13" i="3"/>
  <c r="L13" i="3"/>
  <c r="M13" i="3"/>
  <c r="D14" i="3"/>
  <c r="N13" i="3"/>
  <c r="C14" i="3"/>
  <c r="I14" i="6"/>
  <c r="C15" i="6"/>
  <c r="F13" i="19"/>
  <c r="E13" i="19"/>
  <c r="J12" i="16"/>
  <c r="D13" i="16"/>
  <c r="G13" i="18"/>
  <c r="J13" i="18"/>
  <c r="H13" i="18"/>
  <c r="E13" i="15"/>
  <c r="J13" i="15"/>
  <c r="L13" i="15"/>
  <c r="G13" i="15"/>
  <c r="J14" i="13"/>
  <c r="G14" i="13"/>
  <c r="H14" i="13"/>
  <c r="C15" i="13"/>
  <c r="G14" i="3"/>
  <c r="E14" i="3"/>
  <c r="I14" i="3"/>
  <c r="F15" i="6"/>
  <c r="G15" i="6"/>
  <c r="H15" i="6"/>
  <c r="D16" i="6"/>
  <c r="E15" i="6"/>
  <c r="G13" i="19"/>
  <c r="L13" i="19"/>
  <c r="J13" i="19"/>
  <c r="K13" i="18"/>
  <c r="I13" i="18"/>
  <c r="C14" i="18"/>
  <c r="G13" i="16"/>
  <c r="E13" i="16"/>
  <c r="F13" i="16"/>
  <c r="H13" i="15"/>
  <c r="C14" i="15"/>
  <c r="K13" i="15"/>
  <c r="M13" i="15"/>
  <c r="K14" i="13"/>
  <c r="I14" i="13"/>
  <c r="D15" i="13"/>
  <c r="E15" i="13"/>
  <c r="E13" i="2"/>
  <c r="F14" i="3"/>
  <c r="J14" i="3"/>
  <c r="K14" i="3"/>
  <c r="I15" i="6"/>
  <c r="C16" i="6"/>
  <c r="H13" i="19"/>
  <c r="C14" i="19"/>
  <c r="M13" i="19"/>
  <c r="K13" i="19"/>
  <c r="D14" i="18"/>
  <c r="H13" i="16"/>
  <c r="M13" i="16"/>
  <c r="K13" i="16"/>
  <c r="I13" i="15"/>
  <c r="D14" i="15"/>
  <c r="E14" i="15"/>
  <c r="F15" i="13"/>
  <c r="H14" i="3"/>
  <c r="L14" i="3"/>
  <c r="M14" i="3"/>
  <c r="D15" i="3"/>
  <c r="N14" i="3"/>
  <c r="C15" i="3"/>
  <c r="F16" i="6"/>
  <c r="G16" i="6"/>
  <c r="H16" i="6"/>
  <c r="D17" i="6"/>
  <c r="E16" i="6"/>
  <c r="I13" i="19"/>
  <c r="D14" i="19"/>
  <c r="I13" i="16"/>
  <c r="C14" i="16"/>
  <c r="F14" i="18"/>
  <c r="E14" i="18"/>
  <c r="N13" i="16"/>
  <c r="L13" i="16"/>
  <c r="F14" i="15"/>
  <c r="L14" i="15"/>
  <c r="J15" i="13"/>
  <c r="H15" i="13"/>
  <c r="C16" i="13"/>
  <c r="G15" i="13"/>
  <c r="G15" i="3"/>
  <c r="E15" i="3"/>
  <c r="I15" i="3"/>
  <c r="I16" i="6"/>
  <c r="C17" i="6"/>
  <c r="E17" i="6"/>
  <c r="F14" i="19"/>
  <c r="E14" i="19"/>
  <c r="J13" i="16"/>
  <c r="D14" i="16"/>
  <c r="G14" i="18"/>
  <c r="J14" i="18"/>
  <c r="H14" i="18"/>
  <c r="J14" i="15"/>
  <c r="H14" i="15"/>
  <c r="C15" i="15"/>
  <c r="G14" i="15"/>
  <c r="K15" i="13"/>
  <c r="I15" i="13"/>
  <c r="D16" i="13"/>
  <c r="E14" i="2"/>
  <c r="F15" i="3"/>
  <c r="J15" i="3"/>
  <c r="K15" i="3"/>
  <c r="F17" i="6"/>
  <c r="G17" i="6"/>
  <c r="H17" i="6"/>
  <c r="D18" i="6"/>
  <c r="G14" i="19"/>
  <c r="J14" i="19"/>
  <c r="L14" i="19"/>
  <c r="C15" i="18"/>
  <c r="K14" i="18"/>
  <c r="I14" i="18"/>
  <c r="G14" i="16"/>
  <c r="E14" i="16"/>
  <c r="F14" i="16"/>
  <c r="M14" i="15"/>
  <c r="K14" i="15"/>
  <c r="F16" i="13"/>
  <c r="E16" i="13"/>
  <c r="H15" i="3"/>
  <c r="L15" i="3"/>
  <c r="M15" i="3"/>
  <c r="D16" i="3"/>
  <c r="N15" i="3"/>
  <c r="C16" i="3"/>
  <c r="I17" i="6"/>
  <c r="C18" i="6"/>
  <c r="H14" i="19"/>
  <c r="C15" i="19"/>
  <c r="M14" i="19"/>
  <c r="K14" i="19"/>
  <c r="D15" i="18"/>
  <c r="H14" i="16"/>
  <c r="M14" i="16"/>
  <c r="K14" i="16"/>
  <c r="I14" i="15"/>
  <c r="D15" i="15"/>
  <c r="F15" i="15"/>
  <c r="J16" i="13"/>
  <c r="G16" i="13"/>
  <c r="H16" i="13"/>
  <c r="C17" i="13"/>
  <c r="G16" i="3"/>
  <c r="E16" i="3"/>
  <c r="I16" i="3"/>
  <c r="F18" i="6"/>
  <c r="G18" i="6"/>
  <c r="H18" i="6"/>
  <c r="D19" i="6"/>
  <c r="E18" i="6"/>
  <c r="I14" i="19"/>
  <c r="D15" i="19"/>
  <c r="E15" i="19"/>
  <c r="I14" i="16"/>
  <c r="C15" i="16"/>
  <c r="E15" i="18"/>
  <c r="F15" i="18"/>
  <c r="N14" i="16"/>
  <c r="L14" i="16"/>
  <c r="E15" i="15"/>
  <c r="J15" i="15"/>
  <c r="L15" i="15"/>
  <c r="G15" i="15"/>
  <c r="K16" i="13"/>
  <c r="I16" i="13"/>
  <c r="D17" i="13"/>
  <c r="E15" i="2"/>
  <c r="F16" i="3"/>
  <c r="J16" i="3"/>
  <c r="K16" i="3"/>
  <c r="I18" i="6"/>
  <c r="C19" i="6"/>
  <c r="E19" i="6"/>
  <c r="F15" i="19"/>
  <c r="J14" i="16"/>
  <c r="D15" i="16"/>
  <c r="G15" i="18"/>
  <c r="J15" i="18"/>
  <c r="H15" i="18"/>
  <c r="H15" i="15"/>
  <c r="C16" i="15"/>
  <c r="M15" i="15"/>
  <c r="K15" i="15"/>
  <c r="F17" i="13"/>
  <c r="E17" i="13"/>
  <c r="H16" i="3"/>
  <c r="L16" i="3"/>
  <c r="M16" i="3"/>
  <c r="D17" i="3"/>
  <c r="N16" i="3"/>
  <c r="C17" i="3"/>
  <c r="F19" i="6"/>
  <c r="G19" i="6"/>
  <c r="H19" i="6"/>
  <c r="D20" i="6"/>
  <c r="G15" i="19"/>
  <c r="L15" i="19"/>
  <c r="J15" i="19"/>
  <c r="E15" i="16"/>
  <c r="F15" i="16"/>
  <c r="C16" i="18"/>
  <c r="K15" i="18"/>
  <c r="I15" i="18"/>
  <c r="G15" i="16"/>
  <c r="I15" i="15"/>
  <c r="D16" i="15"/>
  <c r="J17" i="13"/>
  <c r="G17" i="13"/>
  <c r="H17" i="13"/>
  <c r="C18" i="13"/>
  <c r="G17" i="3"/>
  <c r="E17" i="3"/>
  <c r="I17" i="3"/>
  <c r="I19" i="6"/>
  <c r="C20" i="6"/>
  <c r="F20" i="6"/>
  <c r="G20" i="6"/>
  <c r="H20" i="6"/>
  <c r="D21" i="6"/>
  <c r="H15" i="19"/>
  <c r="C16" i="19"/>
  <c r="M15" i="19"/>
  <c r="K15" i="19"/>
  <c r="D16" i="18"/>
  <c r="H15" i="16"/>
  <c r="M15" i="16"/>
  <c r="K15" i="16"/>
  <c r="E16" i="15"/>
  <c r="F16" i="15"/>
  <c r="K17" i="13"/>
  <c r="I17" i="13"/>
  <c r="D18" i="13"/>
  <c r="E16" i="2"/>
  <c r="F17" i="3"/>
  <c r="H17" i="3"/>
  <c r="K17" i="3"/>
  <c r="E20" i="6"/>
  <c r="I20" i="6"/>
  <c r="C21" i="6"/>
  <c r="I15" i="19"/>
  <c r="D16" i="19"/>
  <c r="I15" i="16"/>
  <c r="C16" i="16"/>
  <c r="E16" i="18"/>
  <c r="F16" i="18"/>
  <c r="L15" i="16"/>
  <c r="N15" i="16"/>
  <c r="L16" i="15"/>
  <c r="G16" i="15"/>
  <c r="J16" i="15"/>
  <c r="F18" i="13"/>
  <c r="E18" i="13"/>
  <c r="J17" i="3"/>
  <c r="L17" i="3"/>
  <c r="M17" i="3"/>
  <c r="D18" i="3"/>
  <c r="N17" i="3"/>
  <c r="C18" i="3"/>
  <c r="E21" i="6"/>
  <c r="F21" i="6"/>
  <c r="G21" i="6"/>
  <c r="H21" i="6"/>
  <c r="D22" i="6"/>
  <c r="F16" i="19"/>
  <c r="E16" i="19"/>
  <c r="J15" i="16"/>
  <c r="D16" i="16"/>
  <c r="G16" i="18"/>
  <c r="J16" i="18"/>
  <c r="H16" i="18"/>
  <c r="H16" i="15"/>
  <c r="C17" i="15"/>
  <c r="M16" i="15"/>
  <c r="K16" i="15"/>
  <c r="J18" i="13"/>
  <c r="G18" i="13"/>
  <c r="H18" i="13"/>
  <c r="C19" i="13"/>
  <c r="G18" i="3"/>
  <c r="E18" i="3"/>
  <c r="I18" i="3"/>
  <c r="I21" i="6"/>
  <c r="C22" i="6"/>
  <c r="F22" i="6"/>
  <c r="G22" i="6"/>
  <c r="H22" i="6"/>
  <c r="D23" i="6"/>
  <c r="G16" i="19"/>
  <c r="J16" i="19"/>
  <c r="L16" i="19"/>
  <c r="E16" i="16"/>
  <c r="F16" i="16"/>
  <c r="C17" i="18"/>
  <c r="K16" i="18"/>
  <c r="I16" i="18"/>
  <c r="G16" i="16"/>
  <c r="I16" i="15"/>
  <c r="D17" i="15"/>
  <c r="F17" i="15"/>
  <c r="J17" i="15"/>
  <c r="K18" i="13"/>
  <c r="I18" i="13"/>
  <c r="D19" i="13"/>
  <c r="E17" i="2"/>
  <c r="F18" i="3"/>
  <c r="J18" i="3"/>
  <c r="K18" i="3"/>
  <c r="E22" i="6"/>
  <c r="I22" i="6"/>
  <c r="C23" i="6"/>
  <c r="E23" i="6"/>
  <c r="H16" i="19"/>
  <c r="C17" i="19"/>
  <c r="M16" i="19"/>
  <c r="K16" i="19"/>
  <c r="D17" i="18"/>
  <c r="H16" i="16"/>
  <c r="M16" i="16"/>
  <c r="K16" i="16"/>
  <c r="G17" i="15"/>
  <c r="K17" i="15"/>
  <c r="E17" i="15"/>
  <c r="L17" i="15"/>
  <c r="H17" i="15"/>
  <c r="C18" i="15"/>
  <c r="E19" i="13"/>
  <c r="F19" i="13"/>
  <c r="H18" i="3"/>
  <c r="L18" i="3"/>
  <c r="M18" i="3"/>
  <c r="D19" i="3"/>
  <c r="N18" i="3"/>
  <c r="C19" i="3"/>
  <c r="F23" i="6"/>
  <c r="G23" i="6"/>
  <c r="H23" i="6"/>
  <c r="D24" i="6"/>
  <c r="I16" i="19"/>
  <c r="D17" i="19"/>
  <c r="I16" i="16"/>
  <c r="C17" i="16"/>
  <c r="F17" i="18"/>
  <c r="E17" i="18"/>
  <c r="N16" i="16"/>
  <c r="L16" i="16"/>
  <c r="M17" i="15"/>
  <c r="I17" i="15"/>
  <c r="D18" i="15"/>
  <c r="J19" i="13"/>
  <c r="H19" i="13"/>
  <c r="C20" i="13"/>
  <c r="G19" i="13"/>
  <c r="G19" i="3"/>
  <c r="E19" i="3"/>
  <c r="I19" i="3"/>
  <c r="I23" i="6"/>
  <c r="C24" i="6"/>
  <c r="F24" i="6"/>
  <c r="G24" i="6"/>
  <c r="H24" i="6"/>
  <c r="D25" i="6"/>
  <c r="F17" i="19"/>
  <c r="E17" i="19"/>
  <c r="J16" i="16"/>
  <c r="D17" i="16"/>
  <c r="G17" i="18"/>
  <c r="J17" i="18"/>
  <c r="H17" i="18"/>
  <c r="F18" i="15"/>
  <c r="E18" i="15"/>
  <c r="K19" i="13"/>
  <c r="I19" i="13"/>
  <c r="D20" i="13"/>
  <c r="E18" i="2"/>
  <c r="F19" i="3"/>
  <c r="J19" i="3"/>
  <c r="K19" i="3"/>
  <c r="I24" i="6"/>
  <c r="C25" i="6"/>
  <c r="E25" i="6"/>
  <c r="E24" i="6"/>
  <c r="G17" i="19"/>
  <c r="L17" i="19"/>
  <c r="J17" i="19"/>
  <c r="C18" i="18"/>
  <c r="K17" i="18"/>
  <c r="I17" i="18"/>
  <c r="G17" i="16"/>
  <c r="E17" i="16"/>
  <c r="F17" i="16"/>
  <c r="J18" i="15"/>
  <c r="G18" i="15"/>
  <c r="L18" i="15"/>
  <c r="E20" i="13"/>
  <c r="F20" i="13"/>
  <c r="L19" i="3"/>
  <c r="M19" i="3"/>
  <c r="D20" i="3"/>
  <c r="N19" i="3"/>
  <c r="C20" i="3"/>
  <c r="H19" i="3"/>
  <c r="F25" i="6"/>
  <c r="G25" i="6"/>
  <c r="H25" i="6"/>
  <c r="D26" i="6"/>
  <c r="H17" i="19"/>
  <c r="C18" i="19"/>
  <c r="K17" i="19"/>
  <c r="M17" i="19"/>
  <c r="D18" i="18"/>
  <c r="H17" i="16"/>
  <c r="M17" i="16"/>
  <c r="K17" i="16"/>
  <c r="M18" i="15"/>
  <c r="K18" i="15"/>
  <c r="H18" i="15"/>
  <c r="C19" i="15"/>
  <c r="J20" i="13"/>
  <c r="H20" i="13"/>
  <c r="C21" i="13"/>
  <c r="G20" i="13"/>
  <c r="E19" i="2"/>
  <c r="G20" i="3"/>
  <c r="E20" i="3"/>
  <c r="I20" i="3"/>
  <c r="I25" i="6"/>
  <c r="C26" i="6"/>
  <c r="I17" i="19"/>
  <c r="D18" i="19"/>
  <c r="E18" i="19"/>
  <c r="I17" i="16"/>
  <c r="C18" i="16"/>
  <c r="F18" i="18"/>
  <c r="E18" i="18"/>
  <c r="N17" i="16"/>
  <c r="L17" i="16"/>
  <c r="I18" i="15"/>
  <c r="D19" i="15"/>
  <c r="F19" i="15"/>
  <c r="K20" i="13"/>
  <c r="I20" i="13"/>
  <c r="D21" i="13"/>
  <c r="F20" i="3"/>
  <c r="H20" i="3"/>
  <c r="K20" i="3"/>
  <c r="E26" i="6"/>
  <c r="F26" i="6"/>
  <c r="G26" i="6"/>
  <c r="H26" i="6"/>
  <c r="D27" i="6"/>
  <c r="F18" i="19"/>
  <c r="J17" i="16"/>
  <c r="D18" i="16"/>
  <c r="G18" i="18"/>
  <c r="J18" i="18"/>
  <c r="H18" i="18"/>
  <c r="E19" i="15"/>
  <c r="G19" i="15"/>
  <c r="J19" i="15"/>
  <c r="L19" i="15"/>
  <c r="E21" i="13"/>
  <c r="F21" i="13"/>
  <c r="J20" i="3"/>
  <c r="L20" i="3"/>
  <c r="M20" i="3"/>
  <c r="D21" i="3"/>
  <c r="N20" i="3"/>
  <c r="C21" i="3"/>
  <c r="I26" i="6"/>
  <c r="C27" i="6"/>
  <c r="G18" i="19"/>
  <c r="J18" i="19"/>
  <c r="L18" i="19"/>
  <c r="C19" i="18"/>
  <c r="K18" i="18"/>
  <c r="I18" i="18"/>
  <c r="G18" i="16"/>
  <c r="E18" i="16"/>
  <c r="F18" i="16"/>
  <c r="H19" i="15"/>
  <c r="C20" i="15"/>
  <c r="M19" i="15"/>
  <c r="K19" i="15"/>
  <c r="J21" i="13"/>
  <c r="H21" i="13"/>
  <c r="C22" i="13"/>
  <c r="G21" i="13"/>
  <c r="E20" i="2"/>
  <c r="G21" i="3"/>
  <c r="E21" i="3"/>
  <c r="I21" i="3"/>
  <c r="F27" i="6"/>
  <c r="G27" i="6"/>
  <c r="H27" i="6"/>
  <c r="D28" i="6"/>
  <c r="E27" i="6"/>
  <c r="H18" i="19"/>
  <c r="C19" i="19"/>
  <c r="M18" i="19"/>
  <c r="K18" i="19"/>
  <c r="D19" i="18"/>
  <c r="H18" i="16"/>
  <c r="M18" i="16"/>
  <c r="K18" i="16"/>
  <c r="I19" i="15"/>
  <c r="D20" i="15"/>
  <c r="E20" i="15"/>
  <c r="K21" i="13"/>
  <c r="I21" i="13"/>
  <c r="D22" i="13"/>
  <c r="F21" i="3"/>
  <c r="J21" i="3"/>
  <c r="K21" i="3"/>
  <c r="I27" i="6"/>
  <c r="C28" i="6"/>
  <c r="I18" i="19"/>
  <c r="D19" i="19"/>
  <c r="I18" i="16"/>
  <c r="C19" i="16"/>
  <c r="E19" i="18"/>
  <c r="F19" i="18"/>
  <c r="N18" i="16"/>
  <c r="L18" i="16"/>
  <c r="F20" i="15"/>
  <c r="J20" i="15"/>
  <c r="F22" i="13"/>
  <c r="E22" i="13"/>
  <c r="H21" i="3"/>
  <c r="L21" i="3"/>
  <c r="M21" i="3"/>
  <c r="D22" i="3"/>
  <c r="N21" i="3"/>
  <c r="C22" i="3"/>
  <c r="F28" i="6"/>
  <c r="G28" i="6"/>
  <c r="H28" i="6"/>
  <c r="D29" i="6"/>
  <c r="E28" i="6"/>
  <c r="F19" i="19"/>
  <c r="E19" i="19"/>
  <c r="J18" i="16"/>
  <c r="D19" i="16"/>
  <c r="G19" i="18"/>
  <c r="J19" i="18"/>
  <c r="H19" i="18"/>
  <c r="L20" i="15"/>
  <c r="H20" i="15"/>
  <c r="C21" i="15"/>
  <c r="G20" i="15"/>
  <c r="J22" i="13"/>
  <c r="G22" i="13"/>
  <c r="H22" i="13"/>
  <c r="C23" i="13"/>
  <c r="E21" i="2"/>
  <c r="G22" i="3"/>
  <c r="E22" i="3"/>
  <c r="I22" i="3"/>
  <c r="I28" i="6"/>
  <c r="C29" i="6"/>
  <c r="G19" i="19"/>
  <c r="L19" i="19"/>
  <c r="J19" i="19"/>
  <c r="C20" i="18"/>
  <c r="K19" i="18"/>
  <c r="I19" i="18"/>
  <c r="G19" i="16"/>
  <c r="E19" i="16"/>
  <c r="F19" i="16"/>
  <c r="M20" i="15"/>
  <c r="K20" i="15"/>
  <c r="K22" i="13"/>
  <c r="I22" i="13"/>
  <c r="D23" i="13"/>
  <c r="F22" i="3"/>
  <c r="J22" i="3"/>
  <c r="K22" i="3"/>
  <c r="F29" i="6"/>
  <c r="G29" i="6"/>
  <c r="H29" i="6"/>
  <c r="D30" i="6"/>
  <c r="E29" i="6"/>
  <c r="H19" i="19"/>
  <c r="C20" i="19"/>
  <c r="M19" i="19"/>
  <c r="K19" i="19"/>
  <c r="D20" i="18"/>
  <c r="H19" i="16"/>
  <c r="K19" i="16"/>
  <c r="M19" i="16"/>
  <c r="I20" i="15"/>
  <c r="D21" i="15"/>
  <c r="E21" i="15"/>
  <c r="F23" i="13"/>
  <c r="E23" i="13"/>
  <c r="H22" i="3"/>
  <c r="L22" i="3"/>
  <c r="M22" i="3"/>
  <c r="D23" i="3"/>
  <c r="N22" i="3"/>
  <c r="C23" i="3"/>
  <c r="I29" i="6"/>
  <c r="C30" i="6"/>
  <c r="I19" i="19"/>
  <c r="D20" i="19"/>
  <c r="E20" i="19"/>
  <c r="I19" i="16"/>
  <c r="C20" i="16"/>
  <c r="F20" i="18"/>
  <c r="E20" i="18"/>
  <c r="N19" i="16"/>
  <c r="L19" i="16"/>
  <c r="F21" i="15"/>
  <c r="G21" i="15"/>
  <c r="J23" i="13"/>
  <c r="G23" i="13"/>
  <c r="H23" i="13"/>
  <c r="C24" i="13"/>
  <c r="E22" i="2"/>
  <c r="G23" i="3"/>
  <c r="E23" i="3"/>
  <c r="I23" i="3"/>
  <c r="E30" i="6"/>
  <c r="F30" i="6"/>
  <c r="G30" i="6"/>
  <c r="H30" i="6"/>
  <c r="D31" i="6"/>
  <c r="F20" i="19"/>
  <c r="J19" i="16"/>
  <c r="D20" i="16"/>
  <c r="G20" i="18"/>
  <c r="J20" i="18"/>
  <c r="H20" i="18"/>
  <c r="J21" i="15"/>
  <c r="L21" i="15"/>
  <c r="K21" i="15"/>
  <c r="M21" i="15"/>
  <c r="K23" i="13"/>
  <c r="I23" i="13"/>
  <c r="D24" i="13"/>
  <c r="F23" i="3"/>
  <c r="J23" i="3"/>
  <c r="K23" i="3"/>
  <c r="I30" i="6"/>
  <c r="C31" i="6"/>
  <c r="G20" i="19"/>
  <c r="J20" i="19"/>
  <c r="L20" i="19"/>
  <c r="C21" i="18"/>
  <c r="K20" i="18"/>
  <c r="I20" i="18"/>
  <c r="G20" i="16"/>
  <c r="E20" i="16"/>
  <c r="F20" i="16"/>
  <c r="H21" i="15"/>
  <c r="C22" i="15"/>
  <c r="I21" i="15"/>
  <c r="D22" i="15"/>
  <c r="E24" i="13"/>
  <c r="F24" i="13"/>
  <c r="H23" i="3"/>
  <c r="L23" i="3"/>
  <c r="M23" i="3"/>
  <c r="D24" i="3"/>
  <c r="N23" i="3"/>
  <c r="C24" i="3"/>
  <c r="F31" i="6"/>
  <c r="G31" i="6"/>
  <c r="H31" i="6"/>
  <c r="D32" i="6"/>
  <c r="E31" i="6"/>
  <c r="H20" i="19"/>
  <c r="C21" i="19"/>
  <c r="M20" i="19"/>
  <c r="K20" i="19"/>
  <c r="D21" i="18"/>
  <c r="H20" i="16"/>
  <c r="M20" i="16"/>
  <c r="K20" i="16"/>
  <c r="F22" i="15"/>
  <c r="E22" i="15"/>
  <c r="J24" i="13"/>
  <c r="G24" i="13"/>
  <c r="H24" i="13"/>
  <c r="C25" i="13"/>
  <c r="E23" i="2"/>
  <c r="G24" i="3"/>
  <c r="E24" i="3"/>
  <c r="I24" i="3"/>
  <c r="I31" i="6"/>
  <c r="C32" i="6"/>
  <c r="E32" i="6"/>
  <c r="I20" i="19"/>
  <c r="D21" i="19"/>
  <c r="E21" i="19"/>
  <c r="I20" i="16"/>
  <c r="C21" i="16"/>
  <c r="E21" i="18"/>
  <c r="F21" i="18"/>
  <c r="N20" i="16"/>
  <c r="L20" i="16"/>
  <c r="G22" i="15"/>
  <c r="M22" i="15"/>
  <c r="J22" i="15"/>
  <c r="L22" i="15"/>
  <c r="K24" i="13"/>
  <c r="I24" i="13"/>
  <c r="D25" i="13"/>
  <c r="F24" i="3"/>
  <c r="H24" i="3"/>
  <c r="K24" i="3"/>
  <c r="F32" i="6"/>
  <c r="F21" i="19"/>
  <c r="J20" i="16"/>
  <c r="D21" i="16"/>
  <c r="G21" i="18"/>
  <c r="J21" i="18"/>
  <c r="H21" i="18"/>
  <c r="H22" i="15"/>
  <c r="C23" i="15"/>
  <c r="K22" i="15"/>
  <c r="I22" i="15"/>
  <c r="D23" i="15"/>
  <c r="E25" i="13"/>
  <c r="F25" i="13"/>
  <c r="J24" i="3"/>
  <c r="I32" i="6"/>
  <c r="F33" i="6"/>
  <c r="L24" i="3"/>
  <c r="M24" i="3"/>
  <c r="D25" i="3"/>
  <c r="N24" i="3"/>
  <c r="C25" i="3"/>
  <c r="G32" i="6"/>
  <c r="G21" i="19"/>
  <c r="L21" i="19"/>
  <c r="J21" i="19"/>
  <c r="C22" i="18"/>
  <c r="K21" i="18"/>
  <c r="I21" i="18"/>
  <c r="G21" i="16"/>
  <c r="E21" i="16"/>
  <c r="F21" i="16"/>
  <c r="F23" i="15"/>
  <c r="E23" i="15"/>
  <c r="J25" i="13"/>
  <c r="H25" i="13"/>
  <c r="C26" i="13"/>
  <c r="G25" i="13"/>
  <c r="H32" i="6"/>
  <c r="G33" i="6"/>
  <c r="H33" i="6"/>
  <c r="G25" i="3"/>
  <c r="E25" i="3"/>
  <c r="I25" i="3"/>
  <c r="E24" i="2"/>
  <c r="H21" i="19"/>
  <c r="C22" i="19"/>
  <c r="M21" i="19"/>
  <c r="K21" i="19"/>
  <c r="D22" i="18"/>
  <c r="H21" i="16"/>
  <c r="M21" i="16"/>
  <c r="K21" i="16"/>
  <c r="J23" i="15"/>
  <c r="G23" i="15"/>
  <c r="L23" i="15"/>
  <c r="K25" i="13"/>
  <c r="I25" i="13"/>
  <c r="D26" i="13"/>
  <c r="F25" i="3"/>
  <c r="J25" i="3"/>
  <c r="K25" i="3"/>
  <c r="I21" i="19"/>
  <c r="D22" i="19"/>
  <c r="E22" i="19"/>
  <c r="I21" i="16"/>
  <c r="C22" i="16"/>
  <c r="E22" i="18"/>
  <c r="F22" i="18"/>
  <c r="N21" i="16"/>
  <c r="L21" i="16"/>
  <c r="M23" i="15"/>
  <c r="H23" i="15"/>
  <c r="C24" i="15"/>
  <c r="K23" i="15"/>
  <c r="E26" i="13"/>
  <c r="F26" i="13"/>
  <c r="L25" i="3"/>
  <c r="M25" i="3"/>
  <c r="D26" i="3"/>
  <c r="N25" i="3"/>
  <c r="C26" i="3"/>
  <c r="H25" i="3"/>
  <c r="F22" i="19"/>
  <c r="J21" i="16"/>
  <c r="D22" i="16"/>
  <c r="G22" i="18"/>
  <c r="J22" i="18"/>
  <c r="H22" i="18"/>
  <c r="I23" i="15"/>
  <c r="D24" i="15"/>
  <c r="E24" i="15"/>
  <c r="J26" i="13"/>
  <c r="H26" i="13"/>
  <c r="C27" i="13"/>
  <c r="G26" i="13"/>
  <c r="E25" i="2"/>
  <c r="G26" i="3"/>
  <c r="E26" i="3"/>
  <c r="I26" i="3"/>
  <c r="G22" i="19"/>
  <c r="J22" i="19"/>
  <c r="L22" i="19"/>
  <c r="E22" i="16"/>
  <c r="F22" i="16"/>
  <c r="C23" i="18"/>
  <c r="K22" i="18"/>
  <c r="I22" i="18"/>
  <c r="G22" i="16"/>
  <c r="F24" i="15"/>
  <c r="K26" i="13"/>
  <c r="I26" i="13"/>
  <c r="D27" i="13"/>
  <c r="F26" i="3"/>
  <c r="J26" i="3"/>
  <c r="K26" i="3"/>
  <c r="H22" i="19"/>
  <c r="C23" i="19"/>
  <c r="M22" i="19"/>
  <c r="K22" i="19"/>
  <c r="D23" i="18"/>
  <c r="H22" i="16"/>
  <c r="K22" i="16"/>
  <c r="M22" i="16"/>
  <c r="L24" i="15"/>
  <c r="G24" i="15"/>
  <c r="M24" i="15"/>
  <c r="J24" i="15"/>
  <c r="E27" i="13"/>
  <c r="F27" i="13"/>
  <c r="H26" i="3"/>
  <c r="L26" i="3"/>
  <c r="M26" i="3"/>
  <c r="D27" i="3"/>
  <c r="N26" i="3"/>
  <c r="C27" i="3"/>
  <c r="I22" i="19"/>
  <c r="D23" i="19"/>
  <c r="E23" i="19"/>
  <c r="I22" i="16"/>
  <c r="C23" i="16"/>
  <c r="E23" i="18"/>
  <c r="F23" i="18"/>
  <c r="L22" i="16"/>
  <c r="N22" i="16"/>
  <c r="K24" i="15"/>
  <c r="I24" i="15"/>
  <c r="D25" i="15"/>
  <c r="H24" i="15"/>
  <c r="C25" i="15"/>
  <c r="J27" i="13"/>
  <c r="G27" i="13"/>
  <c r="H27" i="13"/>
  <c r="C28" i="13"/>
  <c r="E26" i="2"/>
  <c r="E27" i="3"/>
  <c r="G27" i="3"/>
  <c r="I27" i="3"/>
  <c r="F23" i="19"/>
  <c r="J22" i="16"/>
  <c r="D23" i="16"/>
  <c r="G23" i="18"/>
  <c r="J23" i="18"/>
  <c r="H23" i="18"/>
  <c r="E25" i="15"/>
  <c r="F25" i="15"/>
  <c r="K27" i="13"/>
  <c r="I27" i="13"/>
  <c r="D28" i="13"/>
  <c r="F27" i="3"/>
  <c r="J27" i="3"/>
  <c r="K27" i="3"/>
  <c r="G23" i="19"/>
  <c r="L23" i="19"/>
  <c r="J23" i="19"/>
  <c r="C24" i="18"/>
  <c r="K23" i="18"/>
  <c r="I23" i="18"/>
  <c r="G23" i="16"/>
  <c r="E23" i="16"/>
  <c r="F23" i="16"/>
  <c r="J25" i="15"/>
  <c r="L25" i="15"/>
  <c r="G25" i="15"/>
  <c r="M25" i="15"/>
  <c r="F28" i="13"/>
  <c r="E28" i="13"/>
  <c r="L27" i="3"/>
  <c r="M27" i="3"/>
  <c r="D28" i="3"/>
  <c r="N27" i="3"/>
  <c r="C28" i="3"/>
  <c r="H27" i="3"/>
  <c r="M23" i="19"/>
  <c r="K23" i="19"/>
  <c r="H23" i="19"/>
  <c r="C24" i="19"/>
  <c r="D24" i="18"/>
  <c r="H23" i="16"/>
  <c r="M23" i="16"/>
  <c r="K23" i="16"/>
  <c r="H25" i="15"/>
  <c r="C26" i="15"/>
  <c r="K25" i="15"/>
  <c r="I25" i="15"/>
  <c r="D26" i="15"/>
  <c r="J28" i="13"/>
  <c r="G28" i="13"/>
  <c r="H28" i="13"/>
  <c r="C29" i="13"/>
  <c r="E27" i="2"/>
  <c r="G28" i="3"/>
  <c r="E28" i="3"/>
  <c r="I28" i="3"/>
  <c r="I23" i="19"/>
  <c r="D24" i="19"/>
  <c r="I23" i="16"/>
  <c r="C24" i="16"/>
  <c r="F24" i="18"/>
  <c r="E24" i="18"/>
  <c r="N23" i="16"/>
  <c r="L23" i="16"/>
  <c r="F26" i="15"/>
  <c r="E26" i="15"/>
  <c r="K28" i="13"/>
  <c r="I28" i="13"/>
  <c r="D29" i="13"/>
  <c r="F28" i="3"/>
  <c r="H28" i="3"/>
  <c r="K28" i="3"/>
  <c r="F24" i="19"/>
  <c r="E24" i="19"/>
  <c r="J23" i="16"/>
  <c r="D24" i="16"/>
  <c r="G24" i="18"/>
  <c r="J24" i="18"/>
  <c r="H24" i="18"/>
  <c r="G26" i="15"/>
  <c r="L26" i="15"/>
  <c r="J26" i="15"/>
  <c r="F29" i="13"/>
  <c r="E29" i="13"/>
  <c r="J28" i="3"/>
  <c r="L28" i="3"/>
  <c r="M28" i="3"/>
  <c r="D29" i="3"/>
  <c r="N28" i="3"/>
  <c r="C29" i="3"/>
  <c r="G24" i="19"/>
  <c r="L24" i="19"/>
  <c r="J24" i="19"/>
  <c r="C25" i="18"/>
  <c r="K24" i="18"/>
  <c r="I24" i="18"/>
  <c r="G24" i="16"/>
  <c r="E24" i="16"/>
  <c r="F24" i="16"/>
  <c r="M26" i="15"/>
  <c r="K26" i="15"/>
  <c r="H26" i="15"/>
  <c r="C27" i="15"/>
  <c r="J29" i="13"/>
  <c r="G29" i="13"/>
  <c r="H29" i="13"/>
  <c r="C30" i="13"/>
  <c r="E28" i="2"/>
  <c r="G29" i="3"/>
  <c r="E29" i="3"/>
  <c r="I29" i="3"/>
  <c r="H24" i="19"/>
  <c r="C25" i="19"/>
  <c r="M24" i="19"/>
  <c r="K24" i="19"/>
  <c r="D25" i="18"/>
  <c r="H24" i="16"/>
  <c r="M24" i="16"/>
  <c r="K24" i="16"/>
  <c r="I26" i="15"/>
  <c r="D27" i="15"/>
  <c r="E27" i="15"/>
  <c r="K29" i="13"/>
  <c r="I29" i="13"/>
  <c r="D30" i="13"/>
  <c r="F29" i="3"/>
  <c r="J29" i="3"/>
  <c r="K29" i="3"/>
  <c r="I24" i="19"/>
  <c r="D25" i="19"/>
  <c r="I24" i="16"/>
  <c r="C25" i="16"/>
  <c r="F25" i="18"/>
  <c r="E25" i="18"/>
  <c r="N24" i="16"/>
  <c r="L24" i="16"/>
  <c r="F27" i="15"/>
  <c r="G27" i="15"/>
  <c r="M27" i="15"/>
  <c r="F30" i="13"/>
  <c r="E30" i="13"/>
  <c r="H29" i="3"/>
  <c r="L29" i="3"/>
  <c r="M29" i="3"/>
  <c r="D30" i="3"/>
  <c r="N29" i="3"/>
  <c r="C30" i="3"/>
  <c r="F25" i="19"/>
  <c r="E25" i="19"/>
  <c r="J24" i="16"/>
  <c r="D25" i="16"/>
  <c r="G25" i="18"/>
  <c r="J25" i="18"/>
  <c r="H25" i="18"/>
  <c r="J27" i="15"/>
  <c r="K27" i="15"/>
  <c r="I27" i="15"/>
  <c r="D28" i="15"/>
  <c r="L27" i="15"/>
  <c r="J30" i="13"/>
  <c r="H30" i="13"/>
  <c r="C31" i="13"/>
  <c r="G30" i="13"/>
  <c r="E29" i="2"/>
  <c r="G30" i="3"/>
  <c r="E30" i="3"/>
  <c r="I30" i="3"/>
  <c r="G25" i="19"/>
  <c r="J25" i="19"/>
  <c r="L25" i="19"/>
  <c r="C26" i="18"/>
  <c r="K25" i="18"/>
  <c r="I25" i="18"/>
  <c r="G25" i="16"/>
  <c r="E25" i="16"/>
  <c r="F25" i="16"/>
  <c r="H27" i="15"/>
  <c r="C28" i="15"/>
  <c r="F28" i="15"/>
  <c r="K30" i="13"/>
  <c r="I30" i="13"/>
  <c r="D31" i="13"/>
  <c r="F30" i="3"/>
  <c r="J30" i="3"/>
  <c r="K30" i="3"/>
  <c r="H25" i="19"/>
  <c r="C26" i="19"/>
  <c r="M25" i="19"/>
  <c r="K25" i="19"/>
  <c r="D26" i="18"/>
  <c r="H25" i="16"/>
  <c r="K25" i="16"/>
  <c r="M25" i="16"/>
  <c r="L28" i="15"/>
  <c r="G28" i="15"/>
  <c r="J28" i="15"/>
  <c r="E28" i="15"/>
  <c r="F31" i="13"/>
  <c r="E31" i="13"/>
  <c r="H30" i="3"/>
  <c r="L30" i="3"/>
  <c r="M30" i="3"/>
  <c r="D31" i="3"/>
  <c r="N30" i="3"/>
  <c r="C31" i="3"/>
  <c r="I25" i="19"/>
  <c r="D26" i="19"/>
  <c r="I25" i="16"/>
  <c r="C26" i="16"/>
  <c r="E26" i="18"/>
  <c r="F26" i="18"/>
  <c r="L25" i="16"/>
  <c r="N25" i="16"/>
  <c r="K28" i="15"/>
  <c r="M28" i="15"/>
  <c r="H28" i="15"/>
  <c r="C29" i="15"/>
  <c r="J31" i="13"/>
  <c r="G31" i="13"/>
  <c r="H31" i="13"/>
  <c r="C32" i="13"/>
  <c r="E30" i="2"/>
  <c r="G31" i="3"/>
  <c r="E31" i="3"/>
  <c r="I31" i="3"/>
  <c r="F26" i="19"/>
  <c r="E26" i="19"/>
  <c r="J25" i="16"/>
  <c r="D26" i="16"/>
  <c r="G26" i="18"/>
  <c r="J26" i="18"/>
  <c r="H26" i="18"/>
  <c r="I28" i="15"/>
  <c r="D29" i="15"/>
  <c r="F29" i="15"/>
  <c r="K31" i="13"/>
  <c r="I31" i="13"/>
  <c r="D32" i="13"/>
  <c r="E32" i="13"/>
  <c r="F31" i="3"/>
  <c r="H31" i="3"/>
  <c r="K31" i="3"/>
  <c r="G26" i="19"/>
  <c r="J26" i="19"/>
  <c r="L26" i="19"/>
  <c r="C27" i="18"/>
  <c r="K26" i="18"/>
  <c r="I26" i="18"/>
  <c r="G26" i="16"/>
  <c r="E26" i="16"/>
  <c r="F26" i="16"/>
  <c r="E29" i="15"/>
  <c r="J29" i="15"/>
  <c r="L29" i="15"/>
  <c r="G29" i="15"/>
  <c r="K29" i="15"/>
  <c r="F32" i="13"/>
  <c r="J31" i="3"/>
  <c r="L31" i="3"/>
  <c r="M31" i="3"/>
  <c r="D32" i="3"/>
  <c r="N31" i="3"/>
  <c r="C32" i="3"/>
  <c r="H26" i="19"/>
  <c r="C27" i="19"/>
  <c r="M26" i="19"/>
  <c r="K26" i="19"/>
  <c r="D27" i="18"/>
  <c r="H29" i="15"/>
  <c r="C30" i="15"/>
  <c r="H26" i="16"/>
  <c r="M26" i="16"/>
  <c r="K26" i="16"/>
  <c r="M29" i="15"/>
  <c r="I29" i="15"/>
  <c r="D30" i="15"/>
  <c r="J32" i="13"/>
  <c r="G32" i="13"/>
  <c r="H32" i="13"/>
  <c r="E31" i="2"/>
  <c r="G32" i="3"/>
  <c r="E32" i="3"/>
  <c r="I32" i="3"/>
  <c r="I26" i="19"/>
  <c r="D27" i="19"/>
  <c r="E27" i="19"/>
  <c r="I26" i="16"/>
  <c r="C27" i="16"/>
  <c r="E27" i="18"/>
  <c r="F27" i="18"/>
  <c r="N26" i="16"/>
  <c r="L26" i="16"/>
  <c r="F30" i="15"/>
  <c r="E30" i="15"/>
  <c r="K32" i="13"/>
  <c r="I32" i="13"/>
  <c r="F32" i="3"/>
  <c r="F33" i="3"/>
  <c r="K32" i="3"/>
  <c r="F27" i="19"/>
  <c r="J26" i="16"/>
  <c r="D27" i="16"/>
  <c r="G27" i="18"/>
  <c r="J27" i="18"/>
  <c r="H27" i="18"/>
  <c r="J30" i="15"/>
  <c r="G30" i="15"/>
  <c r="L30" i="15"/>
  <c r="J32" i="3"/>
  <c r="H32" i="3"/>
  <c r="L32" i="3"/>
  <c r="K33" i="3"/>
  <c r="N32" i="3"/>
  <c r="G27" i="19"/>
  <c r="J27" i="19"/>
  <c r="L27" i="19"/>
  <c r="E27" i="16"/>
  <c r="F27" i="16"/>
  <c r="C28" i="18"/>
  <c r="K27" i="18"/>
  <c r="I27" i="18"/>
  <c r="G27" i="16"/>
  <c r="M30" i="15"/>
  <c r="K30" i="15"/>
  <c r="H30" i="15"/>
  <c r="C31" i="15"/>
  <c r="E32" i="2"/>
  <c r="L33" i="3"/>
  <c r="M32" i="3"/>
  <c r="H32" i="2"/>
  <c r="H27" i="19"/>
  <c r="C28" i="19"/>
  <c r="M27" i="19"/>
  <c r="K27" i="19"/>
  <c r="D28" i="18"/>
  <c r="H27" i="16"/>
  <c r="K27" i="16"/>
  <c r="M27" i="16"/>
  <c r="I30" i="15"/>
  <c r="D31" i="15"/>
  <c r="G32" i="2"/>
  <c r="I32" i="2"/>
  <c r="I27" i="19"/>
  <c r="D28" i="19"/>
  <c r="E28" i="19"/>
  <c r="I27" i="16"/>
  <c r="C28" i="16"/>
  <c r="E28" i="18"/>
  <c r="F28" i="18"/>
  <c r="N27" i="16"/>
  <c r="L27" i="16"/>
  <c r="E31" i="15"/>
  <c r="F31" i="15"/>
  <c r="G33" i="2"/>
  <c r="F28" i="19"/>
  <c r="J27" i="16"/>
  <c r="D28" i="16"/>
  <c r="G28" i="18"/>
  <c r="J28" i="18"/>
  <c r="H28" i="18"/>
  <c r="G31" i="15"/>
  <c r="L31" i="15"/>
  <c r="J31" i="15"/>
  <c r="G28" i="19"/>
  <c r="J28" i="19"/>
  <c r="L28" i="19"/>
  <c r="C29" i="18"/>
  <c r="K28" i="18"/>
  <c r="I28" i="18"/>
  <c r="G28" i="16"/>
  <c r="E28" i="16"/>
  <c r="F28" i="16"/>
  <c r="H31" i="15"/>
  <c r="C32" i="15"/>
  <c r="K31" i="15"/>
  <c r="M31" i="15"/>
  <c r="H28" i="19"/>
  <c r="C29" i="19"/>
  <c r="M28" i="19"/>
  <c r="K28" i="19"/>
  <c r="D29" i="18"/>
  <c r="H28" i="16"/>
  <c r="M28" i="16"/>
  <c r="K28" i="16"/>
  <c r="I31" i="15"/>
  <c r="D32" i="15"/>
  <c r="F32" i="15"/>
  <c r="J32" i="15"/>
  <c r="I28" i="19"/>
  <c r="D29" i="19"/>
  <c r="E29" i="19"/>
  <c r="I28" i="16"/>
  <c r="C29" i="16"/>
  <c r="F29" i="18"/>
  <c r="E29" i="18"/>
  <c r="N28" i="16"/>
  <c r="L28" i="16"/>
  <c r="E32" i="15"/>
  <c r="G32" i="15"/>
  <c r="K32" i="15"/>
  <c r="L32" i="15"/>
  <c r="H32" i="15"/>
  <c r="F29" i="19"/>
  <c r="J28" i="16"/>
  <c r="D29" i="16"/>
  <c r="G29" i="18"/>
  <c r="J29" i="18"/>
  <c r="H29" i="18"/>
  <c r="M32" i="15"/>
  <c r="I32" i="15"/>
  <c r="G29" i="19"/>
  <c r="J29" i="19"/>
  <c r="L29" i="19"/>
  <c r="C30" i="18"/>
  <c r="K29" i="18"/>
  <c r="I29" i="18"/>
  <c r="G29" i="16"/>
  <c r="E29" i="16"/>
  <c r="F29" i="16"/>
  <c r="H29" i="19"/>
  <c r="C30" i="19"/>
  <c r="M29" i="19"/>
  <c r="K29" i="19"/>
  <c r="D30" i="18"/>
  <c r="H29" i="16"/>
  <c r="K29" i="16"/>
  <c r="M29" i="16"/>
  <c r="I29" i="19"/>
  <c r="D30" i="19"/>
  <c r="E30" i="19"/>
  <c r="I29" i="16"/>
  <c r="C30" i="16"/>
  <c r="E30" i="18"/>
  <c r="F30" i="18"/>
  <c r="L29" i="16"/>
  <c r="N29" i="16"/>
  <c r="F30" i="19"/>
  <c r="J29" i="16"/>
  <c r="D30" i="16"/>
  <c r="G30" i="18"/>
  <c r="J30" i="18"/>
  <c r="H30" i="18"/>
  <c r="G30" i="19"/>
  <c r="L30" i="19"/>
  <c r="J30" i="19"/>
  <c r="C31" i="18"/>
  <c r="K30" i="18"/>
  <c r="I30" i="18"/>
  <c r="G30" i="16"/>
  <c r="E30" i="16"/>
  <c r="F30" i="16"/>
  <c r="H30" i="19"/>
  <c r="C31" i="19"/>
  <c r="M30" i="19"/>
  <c r="K30" i="19"/>
  <c r="D31" i="18"/>
  <c r="H30" i="16"/>
  <c r="M30" i="16"/>
  <c r="K30" i="16"/>
  <c r="I30" i="19"/>
  <c r="D31" i="19"/>
  <c r="E31" i="19"/>
  <c r="I30" i="16"/>
  <c r="C31" i="16"/>
  <c r="E31" i="18"/>
  <c r="F31" i="18"/>
  <c r="N30" i="16"/>
  <c r="L30" i="16"/>
  <c r="F31" i="19"/>
  <c r="J30" i="16"/>
  <c r="D31" i="16"/>
  <c r="G31" i="18"/>
  <c r="J31" i="18"/>
  <c r="H31" i="18"/>
  <c r="G31" i="19"/>
  <c r="J31" i="19"/>
  <c r="L31" i="19"/>
  <c r="C32" i="18"/>
  <c r="K31" i="18"/>
  <c r="I31" i="18"/>
  <c r="G31" i="16"/>
  <c r="E31" i="16"/>
  <c r="F31" i="16"/>
  <c r="H31" i="19"/>
  <c r="C32" i="19"/>
  <c r="M31" i="19"/>
  <c r="K31" i="19"/>
  <c r="D32" i="18"/>
  <c r="H31" i="16"/>
  <c r="M31" i="16"/>
  <c r="K31" i="16"/>
  <c r="I31" i="19"/>
  <c r="D32" i="19"/>
  <c r="E32" i="19"/>
  <c r="I31" i="16"/>
  <c r="C32" i="16"/>
  <c r="F32" i="18"/>
  <c r="E32" i="18"/>
  <c r="N31" i="16"/>
  <c r="L31" i="16"/>
  <c r="F32" i="19"/>
  <c r="F33" i="19"/>
  <c r="J31" i="16"/>
  <c r="D32" i="16"/>
  <c r="G32" i="18"/>
  <c r="J32" i="18"/>
  <c r="H32" i="18"/>
  <c r="G32" i="19"/>
  <c r="G33" i="19"/>
  <c r="J32" i="19"/>
  <c r="L32" i="19"/>
  <c r="E32" i="16"/>
  <c r="F32" i="16"/>
  <c r="F33" i="16"/>
  <c r="K32" i="18"/>
  <c r="I32" i="18"/>
  <c r="G32" i="16"/>
  <c r="N34" i="19"/>
  <c r="H32" i="19"/>
  <c r="M32" i="19"/>
  <c r="K32" i="19"/>
  <c r="H32" i="16"/>
  <c r="M32" i="16"/>
  <c r="K32" i="16"/>
  <c r="I32" i="19"/>
  <c r="I32" i="16"/>
  <c r="L32" i="16"/>
  <c r="N32" i="16"/>
  <c r="J32" i="16"/>
</calcChain>
</file>

<file path=xl/comments1.xml><?xml version="1.0" encoding="utf-8"?>
<comments xmlns="http://schemas.openxmlformats.org/spreadsheetml/2006/main">
  <authors>
    <author>Rachel Thomas</author>
  </authors>
  <commentList>
    <comment ref="C2" authorId="0">
      <text>
        <r>
          <rPr>
            <b/>
            <sz val="9"/>
            <color indexed="81"/>
            <rFont val="Tahoma"/>
            <family val="2"/>
          </rPr>
          <t>Rachel Thomas:</t>
        </r>
        <r>
          <rPr>
            <sz val="9"/>
            <color indexed="81"/>
            <rFont val="Tahoma"/>
            <family val="2"/>
          </rPr>
          <t xml:space="preserve">
We just arbitrarily chose values for a, b.  In the other sheets, we will see if our optimizers can get near these true values.</t>
        </r>
      </text>
    </comment>
    <comment ref="B5" authorId="0">
      <text>
        <r>
          <rPr>
            <b/>
            <sz val="9"/>
            <color indexed="81"/>
            <rFont val="Tahoma"/>
            <family val="2"/>
          </rPr>
          <t>Rachel Thomas:</t>
        </r>
        <r>
          <rPr>
            <sz val="9"/>
            <color indexed="81"/>
            <rFont val="Tahoma"/>
            <family val="2"/>
          </rPr>
          <t xml:space="preserve">
x values are randomly chosen.  For CNNs, x would be our image data</t>
        </r>
      </text>
    </comment>
    <comment ref="C5" authorId="0">
      <text>
        <r>
          <rPr>
            <b/>
            <sz val="9"/>
            <color indexed="81"/>
            <rFont val="Tahoma"/>
            <family val="2"/>
          </rPr>
          <t>Rachel Thomas:</t>
        </r>
        <r>
          <rPr>
            <sz val="9"/>
            <color indexed="81"/>
            <rFont val="Tahoma"/>
            <family val="2"/>
          </rPr>
          <t xml:space="preserve">
Here we calculate y (using the "true" a and b).  This is the value our model is trying to predict</t>
        </r>
      </text>
    </comment>
  </commentList>
</comments>
</file>

<file path=xl/comments2.xml><?xml version="1.0" encoding="utf-8"?>
<comments xmlns="http://schemas.openxmlformats.org/spreadsheetml/2006/main">
  <authors>
    <author>Jeremy Howard</author>
    <author>Rachel Thomas</author>
  </authors>
  <commentList>
    <comment ref="C1" authorId="0">
      <text>
        <r>
          <rPr>
            <b/>
            <sz val="9"/>
            <color indexed="81"/>
            <rFont val="Tahoma"/>
            <family val="2"/>
          </rPr>
          <t>Jeremy Howard:</t>
        </r>
        <r>
          <rPr>
            <sz val="9"/>
            <color indexed="81"/>
            <rFont val="Tahoma"/>
            <family val="2"/>
          </rPr>
          <t xml:space="preserve">
These are out initlal guesses. In keras they would be randomly generated. We're just picking '1'</t>
        </r>
      </text>
    </comment>
    <comment ref="F1" authorId="0">
      <text>
        <r>
          <rPr>
            <b/>
            <sz val="9"/>
            <color indexed="81"/>
            <rFont val="Tahoma"/>
            <family val="2"/>
          </rPr>
          <t>Jeremy Howard:</t>
        </r>
        <r>
          <rPr>
            <sz val="9"/>
            <color indexed="81"/>
            <rFont val="Tahoma"/>
            <family val="2"/>
          </rPr>
          <t xml:space="preserve">
Our learning rate, which defines how quickly we update our guesses</t>
        </r>
      </text>
    </comment>
    <comment ref="A3" authorId="0">
      <text>
        <r>
          <rPr>
            <b/>
            <sz val="9"/>
            <color indexed="81"/>
            <rFont val="Tahoma"/>
            <family val="2"/>
          </rPr>
          <t>Jeremy Howard:</t>
        </r>
        <r>
          <rPr>
            <sz val="9"/>
            <color indexed="81"/>
            <rFont val="Tahoma"/>
            <family val="2"/>
          </rPr>
          <t xml:space="preserve">
This is the input x &amp; y data. Because it was randomly generated, it won't be the same as in the 'data' sheet</t>
        </r>
      </text>
    </comment>
    <comment ref="H3" authorId="1">
      <text>
        <r>
          <rPr>
            <b/>
            <sz val="9"/>
            <color indexed="81"/>
            <rFont val="Tahoma"/>
            <family val="2"/>
          </rPr>
          <t>Rachel Thomas:</t>
        </r>
        <r>
          <rPr>
            <sz val="9"/>
            <color indexed="81"/>
            <rFont val="Tahoma"/>
            <family val="2"/>
          </rPr>
          <t xml:space="preserve">
calculating numerically
</t>
        </r>
      </text>
    </comment>
    <comment ref="K3" authorId="1">
      <text>
        <r>
          <rPr>
            <b/>
            <sz val="9"/>
            <color indexed="81"/>
            <rFont val="Tahoma"/>
            <family val="2"/>
          </rPr>
          <t>Rachel Thomas:</t>
        </r>
        <r>
          <rPr>
            <sz val="9"/>
            <color indexed="81"/>
            <rFont val="Tahoma"/>
            <family val="2"/>
          </rPr>
          <t xml:space="preserve">
calculated analytically.  Use Wolfram-Alpha to get analytical deriv.  Theano and Tensor Flow calculate analytic derivatives for you</t>
        </r>
      </text>
    </comment>
    <comment ref="C4" authorId="0">
      <text>
        <r>
          <rPr>
            <b/>
            <sz val="9"/>
            <color indexed="81"/>
            <rFont val="Tahoma"/>
            <family val="2"/>
          </rPr>
          <t>Jeremy Howard:</t>
        </r>
        <r>
          <rPr>
            <sz val="9"/>
            <color indexed="81"/>
            <rFont val="Tahoma"/>
            <family val="2"/>
          </rPr>
          <t xml:space="preserve">
This is our guess for the first row of data</t>
        </r>
      </text>
    </comment>
    <comment ref="M4" authorId="0">
      <text>
        <r>
          <rPr>
            <b/>
            <sz val="9"/>
            <color indexed="81"/>
            <rFont val="Tahoma"/>
            <family val="2"/>
          </rPr>
          <t>Jeremy Howard:</t>
        </r>
        <r>
          <rPr>
            <sz val="9"/>
            <color indexed="81"/>
            <rFont val="Tahoma"/>
            <family val="2"/>
          </rPr>
          <t xml:space="preserve">
This is the new guess, which will be copied to columns C &amp; D in the next row</t>
        </r>
      </text>
    </comment>
    <comment ref="C5" authorId="0">
      <text>
        <r>
          <rPr>
            <b/>
            <sz val="9"/>
            <color indexed="81"/>
            <rFont val="Tahoma"/>
            <family val="2"/>
          </rPr>
          <t>Jeremy Howard:</t>
        </r>
        <r>
          <rPr>
            <sz val="9"/>
            <color indexed="81"/>
            <rFont val="Tahoma"/>
            <family val="2"/>
          </rPr>
          <t xml:space="preserve">
On the 2nd row, our guess has been updated slightly</t>
        </r>
      </text>
    </comment>
  </commentList>
</comments>
</file>

<file path=xl/sharedStrings.xml><?xml version="1.0" encoding="utf-8"?>
<sst xmlns="http://schemas.openxmlformats.org/spreadsheetml/2006/main" count="164" uniqueCount="71">
  <si>
    <t>slope</t>
  </si>
  <si>
    <t>err^2</t>
  </si>
  <si>
    <t>rmse</t>
  </si>
  <si>
    <t>e=(ax+b-y)^2</t>
  </si>
  <si>
    <t>de/da=x*2(ax+b-y)</t>
  </si>
  <si>
    <t>de/db=2(ax+b-y)</t>
  </si>
  <si>
    <t>de/db</t>
  </si>
  <si>
    <t>errb1</t>
  </si>
  <si>
    <t>erra1</t>
  </si>
  <si>
    <t>de/da</t>
  </si>
  <si>
    <t>est de/db</t>
  </si>
  <si>
    <t>est de/da</t>
  </si>
  <si>
    <t>new a</t>
  </si>
  <si>
    <t>new b</t>
  </si>
  <si>
    <t>learn</t>
  </si>
  <si>
    <t>x</t>
  </si>
  <si>
    <t>y</t>
  </si>
  <si>
    <t>y_pred</t>
  </si>
  <si>
    <t>pred</t>
  </si>
  <si>
    <t>intercept</t>
  </si>
  <si>
    <t>Paste error here:</t>
  </si>
  <si>
    <t>b</t>
  </si>
  <si>
    <t>a</t>
  </si>
  <si>
    <t>const</t>
  </si>
  <si>
    <t>beta</t>
  </si>
  <si>
    <t>loss</t>
  </si>
  <si>
    <t>ft-1</t>
  </si>
  <si>
    <t>ft-2</t>
  </si>
  <si>
    <t>r_t</t>
  </si>
  <si>
    <t>dt-1</t>
  </si>
  <si>
    <t>dt</t>
  </si>
  <si>
    <t>What is this excel notebook about?</t>
  </si>
  <si>
    <t>To keep things simple, instead of working with neural networks here, we will use a simple linear model (y=ax+b).  However, the optimization methods are the same for NNs.</t>
  </si>
  <si>
    <t>This notebook explores different flavors/variations of Stochastic Gradient Descent, the key optimization method used in Deep Learning.</t>
  </si>
  <si>
    <t>data:</t>
  </si>
  <si>
    <t>We create our data by arbitrarily choosing a and b (a=2, b=30), randomly generating x, and then calculating y = ax + b.  We are going to pretend we don't know the true values of a and b, and see if our optimization algorithms help us find them.</t>
  </si>
  <si>
    <t>basic SGD:</t>
  </si>
  <si>
    <t>y=a*x + b</t>
  </si>
  <si>
    <t>What makes it stochastic is that we're just evaluating the error on a subset of our data (in this case, a single data point. For NNs, this is called our "mini-batch") and then updating the weights.</t>
  </si>
  <si>
    <t>momentum:</t>
  </si>
  <si>
    <t>adagrad:</t>
  </si>
  <si>
    <t>rmsprop:</t>
  </si>
  <si>
    <t>Overview of the sheets in this notebook:</t>
  </si>
  <si>
    <t>adam:</t>
  </si>
  <si>
    <t>rmsprop + momentum</t>
  </si>
  <si>
    <t>eve:</t>
  </si>
  <si>
    <t>adagrad_ann:</t>
  </si>
  <si>
    <t>adagrad with learning rate annealling</t>
  </si>
  <si>
    <t xml:space="preserve">adam_ann: </t>
  </si>
  <si>
    <t>adam with learning rate annealling</t>
  </si>
  <si>
    <t>weights:</t>
  </si>
  <si>
    <t>The key idea of SGD:</t>
  </si>
  <si>
    <t>3. Repeat step 2 lots of times.  Eventually we end up with some decent weights.</t>
  </si>
  <si>
    <t>1. Randomly choose some weights to start.</t>
  </si>
  <si>
    <t>2. Use those weights to calculate a prediciton, calculate the error/loss, and then update those weights.</t>
  </si>
  <si>
    <t xml:space="preserve">Goal: We want to create a model so that we can predict y when we're given x. </t>
  </si>
  <si>
    <t>To build the model, we are given training data x, y and we want to find an optimal a, b to create a model of the form y = ax + b.</t>
  </si>
  <si>
    <t xml:space="preserve">How does this relate to NNs?  To make an analogy with CNNs: x would be our images, y would be the dog/cat labels, and a and b are the weights.  </t>
  </si>
  <si>
    <t>We are trying to find the optimal weights (a, b). We use the same optimization methods to find weights for our NNs.</t>
  </si>
  <si>
    <t xml:space="preserve">Some comments have been added to the other sheets in this notebook.  </t>
  </si>
  <si>
    <t>Comments are indicated by a small red triangle in the corner of a cell.  Hover your mouse over that cell to read the comment.</t>
  </si>
  <si>
    <t>Here we randomly generate some training data x and y that we will use on the other sheets.  In the real world, you would get your x and y data from another source. In our CNN, x is the image data and y is the category (dog or cat).</t>
  </si>
  <si>
    <t>We can get a sense of how good our answers are, since really we know what the "true" a and b are.</t>
  </si>
  <si>
    <t>This is the most basic, vanilla form of stochastic gradient descent.  If we were doing gradient descent (not stochastic!), we would evaluate our error on all our data, and then update the weights a, b.</t>
  </si>
  <si>
    <t>Accelerate SGD in the relevant direction and dampen side-to-side oscillations</t>
  </si>
  <si>
    <t>It does this by combining a decaying average of previous gradients with the current gradient</t>
  </si>
  <si>
    <t>Adapts the learning rate by dividing by the sqrt of the avg of the previous gradients squared</t>
  </si>
  <si>
    <t>Adapts the learning rate by dividing by exponentially decaying average of squared gradients</t>
  </si>
  <si>
    <t>Modifies learning rate based on recent volatility of loss</t>
  </si>
  <si>
    <t>On each sheet, click 'reset' to return the a and b guesses to 1.</t>
  </si>
  <si>
    <t>Click 'run' to copy the last row's updated a and b guesses to the top row, and recalculate, a few times. (Each is effectively one epoch)</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</si>
</sst>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000"/>
  </numFmts>
  <fonts count="9" x14ac:knownFonts="1">
    <font>
      <sz val="11"/>
      <color theme="1"/>
      <name val="Calibri"/>
      <family val="2"/>
      <scheme val="minor"/>
    </font>
    <font>
      <b/>
      <sz val="11"/>
      <color theme="1"/>
      <name val="Calibri"/>
      <family val="2"/>
      <scheme val="minor"/>
    </font>
    <font>
      <sz val="11"/>
      <color rgb="FF000000"/>
      <name val="Calibri"/>
      <family val="2"/>
    </font>
    <font>
      <i/>
      <sz val="11"/>
      <color theme="1"/>
      <name val="Calibri"/>
      <family val="2"/>
      <scheme val="minor"/>
    </font>
    <font>
      <b/>
      <i/>
      <sz val="11"/>
      <color theme="1"/>
      <name val="Calibri"/>
      <family val="2"/>
      <scheme val="minor"/>
    </font>
    <font>
      <b/>
      <sz val="14"/>
      <color theme="1"/>
      <name val="Calibri"/>
      <family val="2"/>
      <scheme val="minor"/>
    </font>
    <font>
      <sz val="14"/>
      <color theme="1"/>
      <name val="Calibri"/>
      <family val="2"/>
      <scheme val="minor"/>
    </font>
    <font>
      <sz val="9"/>
      <color indexed="81"/>
      <name val="Tahoma"/>
      <family val="2"/>
    </font>
    <font>
      <b/>
      <sz val="9"/>
      <color indexed="81"/>
      <name val="Tahoma"/>
      <family val="2"/>
    </font>
  </fonts>
  <fills count="2">
    <fill>
      <patternFill patternType="none"/>
    </fill>
    <fill>
      <patternFill patternType="gray125"/>
    </fill>
  </fills>
  <borders count="9">
    <border>
      <left/>
      <right/>
      <top/>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s>
  <cellStyleXfs count="1">
    <xf numFmtId="0" fontId="0" fillId="0" borderId="0"/>
  </cellStyleXfs>
  <cellXfs count="27">
    <xf numFmtId="0" fontId="0" fillId="0" borderId="0" xfId="0"/>
    <xf numFmtId="3" fontId="0" fillId="0" borderId="0" xfId="0" applyNumberFormat="1"/>
    <xf numFmtId="0" fontId="1" fillId="0" borderId="0" xfId="0" applyFont="1"/>
    <xf numFmtId="4" fontId="0" fillId="0" borderId="0" xfId="0" applyNumberFormat="1"/>
    <xf numFmtId="0" fontId="0" fillId="0" borderId="0" xfId="0" applyFont="1"/>
    <xf numFmtId="164" fontId="0" fillId="0" borderId="0" xfId="0" applyNumberFormat="1"/>
    <xf numFmtId="164" fontId="1" fillId="0" borderId="0" xfId="0" applyNumberFormat="1" applyFont="1"/>
    <xf numFmtId="2" fontId="0" fillId="0" borderId="0" xfId="0" applyNumberFormat="1"/>
    <xf numFmtId="2" fontId="1" fillId="0" borderId="0" xfId="0" applyNumberFormat="1" applyFont="1"/>
    <xf numFmtId="11" fontId="3" fillId="0" borderId="0" xfId="0" applyNumberFormat="1" applyFont="1"/>
    <xf numFmtId="9" fontId="0" fillId="0" borderId="0" xfId="0" applyNumberFormat="1"/>
    <xf numFmtId="0" fontId="4" fillId="0" borderId="0" xfId="0" applyFont="1"/>
    <xf numFmtId="164" fontId="4" fillId="0" borderId="0" xfId="0" applyNumberFormat="1" applyFont="1"/>
    <xf numFmtId="0" fontId="5" fillId="0" borderId="0" xfId="0" applyFont="1"/>
    <xf numFmtId="0" fontId="6" fillId="0" borderId="0" xfId="0" applyFont="1"/>
    <xf numFmtId="0" fontId="6" fillId="0" borderId="0" xfId="0" applyFont="1" applyAlignment="1">
      <alignment wrapText="1"/>
    </xf>
    <xf numFmtId="0" fontId="5" fillId="0" borderId="0" xfId="0" applyFont="1" applyAlignment="1"/>
    <xf numFmtId="0" fontId="6" fillId="0" borderId="0" xfId="0" applyFont="1" applyAlignment="1"/>
    <xf numFmtId="0" fontId="6" fillId="0" borderId="1" xfId="0" applyFont="1" applyBorder="1"/>
    <xf numFmtId="0" fontId="6" fillId="0" borderId="2" xfId="0" applyFont="1" applyBorder="1" applyAlignment="1">
      <alignment wrapText="1"/>
    </xf>
    <xf numFmtId="0" fontId="5" fillId="0" borderId="3" xfId="0" applyFont="1" applyBorder="1"/>
    <xf numFmtId="0" fontId="6" fillId="0" borderId="4" xfId="0" applyFont="1" applyBorder="1" applyAlignment="1">
      <alignment wrapText="1"/>
    </xf>
    <xf numFmtId="0" fontId="5" fillId="0" borderId="5" xfId="0" applyFont="1" applyBorder="1"/>
    <xf numFmtId="0" fontId="6" fillId="0" borderId="6" xfId="0" applyFont="1" applyBorder="1" applyAlignment="1">
      <alignment wrapText="1"/>
    </xf>
    <xf numFmtId="0" fontId="6" fillId="0" borderId="5" xfId="0" applyFont="1" applyBorder="1"/>
    <xf numFmtId="0" fontId="6" fillId="0" borderId="7" xfId="0" applyFont="1" applyBorder="1"/>
    <xf numFmtId="0" fontId="6" fillId="0" borderId="8" xfId="0" applyFont="1" applyBorder="1"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 Type="http://schemas.openxmlformats.org/officeDocument/2006/relationships/theme" Target="theme/theme1.xml"/><Relationship Id="rId12" Type="http://schemas.openxmlformats.org/officeDocument/2006/relationships/styles" Target="styles.xml"/><Relationship Id="rId13" Type="http://schemas.openxmlformats.org/officeDocument/2006/relationships/sharedStrings" Target="sharedStrings.xml"/><Relationship Id="rId14" Type="http://schemas.openxmlformats.org/officeDocument/2006/relationships/calcChain" Target="calcChain.xml"/><Relationship Id="rId15"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s>
</file>

<file path=xl/charts/_rels/chart1.xml.rels><?xml version="1.0" encoding="UTF-8" standalone="yes"?>
<Relationships xmlns="http://schemas.openxmlformats.org/package/2006/relationships"><Relationship Id="rId1" Type="http://schemas.microsoft.com/office/2011/relationships/chartStyle" Target="style1.xml"/><Relationship Id="rId2" Type="http://schemas.microsoft.com/office/2011/relationships/chartColorStyle" Target="colors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Error by</a:t>
            </a:r>
            <a:r>
              <a:rPr lang="en-US" baseline="0"/>
              <a:t> epoch</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val>
            <c:numRef>
              <c:f>'basic SGD'!$C$38:$C$62</c:f>
              <c:numCache>
                <c:formatCode>General</c:formatCode>
                <c:ptCount val="25"/>
                <c:pt idx="0">
                  <c:v>150.7552115377185</c:v>
                </c:pt>
                <c:pt idx="1">
                  <c:v>150.7552115377185</c:v>
                </c:pt>
                <c:pt idx="2">
                  <c:v>150.7552115377185</c:v>
                </c:pt>
                <c:pt idx="3">
                  <c:v>150.7552115377185</c:v>
                </c:pt>
                <c:pt idx="4">
                  <c:v>150.7552115377185</c:v>
                </c:pt>
                <c:pt idx="5">
                  <c:v>150.7552115377185</c:v>
                </c:pt>
                <c:pt idx="6">
                  <c:v>150.7552115377185</c:v>
                </c:pt>
                <c:pt idx="7">
                  <c:v>150.7552115377185</c:v>
                </c:pt>
                <c:pt idx="8">
                  <c:v>150.7552115377185</c:v>
                </c:pt>
                <c:pt idx="9">
                  <c:v>150.7552115377185</c:v>
                </c:pt>
                <c:pt idx="10">
                  <c:v>150.7552115377185</c:v>
                </c:pt>
                <c:pt idx="11">
                  <c:v>150.7552115377185</c:v>
                </c:pt>
                <c:pt idx="12">
                  <c:v>150.7552115377185</c:v>
                </c:pt>
                <c:pt idx="13">
                  <c:v>150.7552115377185</c:v>
                </c:pt>
                <c:pt idx="14">
                  <c:v>150.7552115377185</c:v>
                </c:pt>
                <c:pt idx="15">
                  <c:v>150.7552115377185</c:v>
                </c:pt>
                <c:pt idx="16">
                  <c:v>150.7552115377185</c:v>
                </c:pt>
                <c:pt idx="17">
                  <c:v>150.7552115377185</c:v>
                </c:pt>
                <c:pt idx="18">
                  <c:v>150.7552115377185</c:v>
                </c:pt>
                <c:pt idx="19">
                  <c:v>150.7552115377185</c:v>
                </c:pt>
                <c:pt idx="20">
                  <c:v>150.7552115377185</c:v>
                </c:pt>
                <c:pt idx="21">
                  <c:v>150.7552115377185</c:v>
                </c:pt>
                <c:pt idx="22">
                  <c:v>150.7552115377185</c:v>
                </c:pt>
                <c:pt idx="23">
                  <c:v>150.7552115377185</c:v>
                </c:pt>
                <c:pt idx="24">
                  <c:v>150.7552115377185</c:v>
                </c:pt>
              </c:numCache>
            </c:numRef>
          </c:val>
          <c:smooth val="0"/>
          <c:extLst xmlns:c16r2="http://schemas.microsoft.com/office/drawing/2015/06/chart">
            <c:ext xmlns:c16="http://schemas.microsoft.com/office/drawing/2014/chart" uri="{C3380CC4-5D6E-409C-BE32-E72D297353CC}">
              <c16:uniqueId val="{00000000-03E4-47F8-B210-D0B46E2B5952}"/>
            </c:ext>
          </c:extLst>
        </c:ser>
        <c:dLbls>
          <c:showLegendKey val="0"/>
          <c:showVal val="0"/>
          <c:showCatName val="0"/>
          <c:showSerName val="0"/>
          <c:showPercent val="0"/>
          <c:showBubbleSize val="0"/>
        </c:dLbls>
        <c:smooth val="0"/>
        <c:axId val="-579019136"/>
        <c:axId val="-526206192"/>
      </c:lineChart>
      <c:catAx>
        <c:axId val="-57901913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6206192"/>
        <c:crosses val="autoZero"/>
        <c:auto val="1"/>
        <c:lblAlgn val="ctr"/>
        <c:lblOffset val="100"/>
        <c:noMultiLvlLbl val="0"/>
      </c:catAx>
      <c:valAx>
        <c:axId val="-5262061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90191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150811</xdr:colOff>
      <xdr:row>35</xdr:row>
      <xdr:rowOff>59795</xdr:rowOff>
    </xdr:from>
    <xdr:to>
      <xdr:col>9</xdr:col>
      <xdr:colOff>537103</xdr:colOff>
      <xdr:row>50</xdr:row>
      <xdr:rowOff>24870</xdr:rowOff>
    </xdr:to>
    <xdr:graphicFrame macro="">
      <xdr:nvGraphicFramePr>
        <xdr:cNvPr id="2" name="Chart 1">
          <a:extLst>
            <a:ext uri="{FF2B5EF4-FFF2-40B4-BE49-F238E27FC236}">
              <a16:creationId xmlns:a16="http://schemas.microsoft.com/office/drawing/2014/main" xmlns=""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0</xdr:colOff>
          <xdr:row>1</xdr:row>
          <xdr:rowOff>12700</xdr:rowOff>
        </xdr:from>
        <xdr:to>
          <xdr:col>0</xdr:col>
          <xdr:colOff>508000</xdr:colOff>
          <xdr:row>2</xdr:row>
          <xdr:rowOff>977</xdr:rowOff>
        </xdr:to>
        <xdr:sp macro="" textlink="">
          <xdr:nvSpPr>
            <xdr:cNvPr id="16385" name="Button 1" hidden="1">
              <a:extLst>
                <a:ext uri="{63B3BB69-23CF-44E3-9099-C40C66FF867C}">
                  <a14:compatExt spid="_x0000_s16385"/>
                </a:ext>
                <a:ext uri="{FF2B5EF4-FFF2-40B4-BE49-F238E27FC236}">
                  <a16:creationId xmlns:a16="http://schemas.microsoft.com/office/drawing/2014/main" xmlns="" id="{00000000-0008-0000-0200-000001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Run</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25400</xdr:rowOff>
        </xdr:from>
        <xdr:to>
          <xdr:col>0</xdr:col>
          <xdr:colOff>508000</xdr:colOff>
          <xdr:row>1</xdr:row>
          <xdr:rowOff>0</xdr:rowOff>
        </xdr:to>
        <xdr:sp macro="" textlink="">
          <xdr:nvSpPr>
            <xdr:cNvPr id="16386" name="Button 2" hidden="1">
              <a:extLst>
                <a:ext uri="{63B3BB69-23CF-44E3-9099-C40C66FF867C}">
                  <a14:compatExt spid="_x0000_s16386"/>
                </a:ext>
                <a:ext uri="{FF2B5EF4-FFF2-40B4-BE49-F238E27FC236}">
                  <a16:creationId xmlns:a16="http://schemas.microsoft.com/office/drawing/2014/main" xmlns="" id="{00000000-0008-0000-0200-000002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Reset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635000</xdr:colOff>
          <xdr:row>0</xdr:row>
          <xdr:rowOff>177800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xmlns=""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xdr:row>
          <xdr:rowOff>12700</xdr:rowOff>
        </xdr:from>
        <xdr:to>
          <xdr:col>0</xdr:col>
          <xdr:colOff>635000</xdr:colOff>
          <xdr:row>1</xdr:row>
          <xdr:rowOff>177800</xdr:rowOff>
        </xdr:to>
        <xdr:sp macro="" textlink="">
          <xdr:nvSpPr>
            <xdr:cNvPr id="47106" name="Button 2" hidden="1">
              <a:extLst>
                <a:ext uri="{63B3BB69-23CF-44E3-9099-C40C66FF867C}">
                  <a14:compatExt spid="_x0000_s47106"/>
                </a:ext>
                <a:ext uri="{FF2B5EF4-FFF2-40B4-BE49-F238E27FC236}">
                  <a16:creationId xmlns:a16="http://schemas.microsoft.com/office/drawing/2014/main" xmlns=""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Run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635000</xdr:colOff>
          <xdr:row>0</xdr:row>
          <xdr:rowOff>177800</xdr:rowOff>
        </xdr:to>
        <xdr:sp macro="" textlink="">
          <xdr:nvSpPr>
            <xdr:cNvPr id="8193" name="Button 1" hidden="1">
              <a:extLst>
                <a:ext uri="{63B3BB69-23CF-44E3-9099-C40C66FF867C}">
                  <a14:compatExt spid="_x0000_s8193"/>
                </a:ext>
                <a:ext uri="{FF2B5EF4-FFF2-40B4-BE49-F238E27FC236}">
                  <a16:creationId xmlns:a16="http://schemas.microsoft.com/office/drawing/2014/main" xmlns=""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xdr:row>
          <xdr:rowOff>12700</xdr:rowOff>
        </xdr:from>
        <xdr:to>
          <xdr:col>0</xdr:col>
          <xdr:colOff>635000</xdr:colOff>
          <xdr:row>1</xdr:row>
          <xdr:rowOff>177800</xdr:rowOff>
        </xdr:to>
        <xdr:sp macro="" textlink="">
          <xdr:nvSpPr>
            <xdr:cNvPr id="8194" name="Button 2" hidden="1">
              <a:extLst>
                <a:ext uri="{63B3BB69-23CF-44E3-9099-C40C66FF867C}">
                  <a14:compatExt spid="_x0000_s8194"/>
                </a:ext>
                <a:ext uri="{FF2B5EF4-FFF2-40B4-BE49-F238E27FC236}">
                  <a16:creationId xmlns:a16="http://schemas.microsoft.com/office/drawing/2014/main" xmlns=""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Run</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635000</xdr:colOff>
          <xdr:row>0</xdr:row>
          <xdr:rowOff>177800</xdr:rowOff>
        </xdr:to>
        <xdr:sp macro="" textlink="">
          <xdr:nvSpPr>
            <xdr:cNvPr id="22529" name="Button 1" hidden="1">
              <a:extLst>
                <a:ext uri="{63B3BB69-23CF-44E3-9099-C40C66FF867C}">
                  <a14:compatExt spid="_x0000_s22529"/>
                </a:ext>
                <a:ext uri="{FF2B5EF4-FFF2-40B4-BE49-F238E27FC236}">
                  <a16:creationId xmlns:a16="http://schemas.microsoft.com/office/drawing/2014/main" xmlns="" id="{00000000-0008-0000-0500-000001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xdr:row>
          <xdr:rowOff>12700</xdr:rowOff>
        </xdr:from>
        <xdr:to>
          <xdr:col>0</xdr:col>
          <xdr:colOff>635000</xdr:colOff>
          <xdr:row>1</xdr:row>
          <xdr:rowOff>177800</xdr:rowOff>
        </xdr:to>
        <xdr:sp macro="" textlink="">
          <xdr:nvSpPr>
            <xdr:cNvPr id="22530" name="Button 2" hidden="1">
              <a:extLst>
                <a:ext uri="{63B3BB69-23CF-44E3-9099-C40C66FF867C}">
                  <a14:compatExt spid="_x0000_s22530"/>
                </a:ext>
                <a:ext uri="{FF2B5EF4-FFF2-40B4-BE49-F238E27FC236}">
                  <a16:creationId xmlns:a16="http://schemas.microsoft.com/office/drawing/2014/main" xmlns="" id="{00000000-0008-0000-0500-000002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Run</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635000</xdr:colOff>
          <xdr:row>0</xdr:row>
          <xdr:rowOff>177800</xdr:rowOff>
        </xdr:to>
        <xdr:sp macro="" textlink="">
          <xdr:nvSpPr>
            <xdr:cNvPr id="30721" name="Button 1" hidden="1">
              <a:extLst>
                <a:ext uri="{63B3BB69-23CF-44E3-9099-C40C66FF867C}">
                  <a14:compatExt spid="_x0000_s30721"/>
                </a:ext>
                <a:ext uri="{FF2B5EF4-FFF2-40B4-BE49-F238E27FC236}">
                  <a16:creationId xmlns:a16="http://schemas.microsoft.com/office/drawing/2014/main" xmlns="" id="{00000000-0008-0000-0600-0000017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xdr:row>
          <xdr:rowOff>12700</xdr:rowOff>
        </xdr:from>
        <xdr:to>
          <xdr:col>0</xdr:col>
          <xdr:colOff>635000</xdr:colOff>
          <xdr:row>1</xdr:row>
          <xdr:rowOff>177800</xdr:rowOff>
        </xdr:to>
        <xdr:sp macro="" textlink="">
          <xdr:nvSpPr>
            <xdr:cNvPr id="30722" name="Button 2" hidden="1">
              <a:extLst>
                <a:ext uri="{63B3BB69-23CF-44E3-9099-C40C66FF867C}">
                  <a14:compatExt spid="_x0000_s30722"/>
                </a:ext>
                <a:ext uri="{FF2B5EF4-FFF2-40B4-BE49-F238E27FC236}">
                  <a16:creationId xmlns:a16="http://schemas.microsoft.com/office/drawing/2014/main" xmlns="" id="{00000000-0008-0000-0600-0000027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Run</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635000</xdr:colOff>
          <xdr:row>0</xdr:row>
          <xdr:rowOff>177800</xdr:rowOff>
        </xdr:to>
        <xdr:sp macro="" textlink="">
          <xdr:nvSpPr>
            <xdr:cNvPr id="37889" name="Button 1" hidden="1">
              <a:extLst>
                <a:ext uri="{63B3BB69-23CF-44E3-9099-C40C66FF867C}">
                  <a14:compatExt spid="_x0000_s37889"/>
                </a:ext>
                <a:ext uri="{FF2B5EF4-FFF2-40B4-BE49-F238E27FC236}">
                  <a16:creationId xmlns:a16="http://schemas.microsoft.com/office/drawing/2014/main" xmlns="" id="{00000000-0008-0000-0700-000001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xdr:row>
          <xdr:rowOff>12700</xdr:rowOff>
        </xdr:from>
        <xdr:to>
          <xdr:col>0</xdr:col>
          <xdr:colOff>635000</xdr:colOff>
          <xdr:row>1</xdr:row>
          <xdr:rowOff>177800</xdr:rowOff>
        </xdr:to>
        <xdr:sp macro="" textlink="">
          <xdr:nvSpPr>
            <xdr:cNvPr id="37890" name="Button 2" hidden="1">
              <a:extLst>
                <a:ext uri="{63B3BB69-23CF-44E3-9099-C40C66FF867C}">
                  <a14:compatExt spid="_x0000_s37890"/>
                </a:ext>
                <a:ext uri="{FF2B5EF4-FFF2-40B4-BE49-F238E27FC236}">
                  <a16:creationId xmlns:a16="http://schemas.microsoft.com/office/drawing/2014/main" xmlns="" id="{00000000-0008-0000-0700-000002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Run</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635000</xdr:colOff>
          <xdr:row>0</xdr:row>
          <xdr:rowOff>177800</xdr:rowOff>
        </xdr:to>
        <xdr:sp macro="" textlink="">
          <xdr:nvSpPr>
            <xdr:cNvPr id="7169" name="Button 1" hidden="1">
              <a:extLst>
                <a:ext uri="{63B3BB69-23CF-44E3-9099-C40C66FF867C}">
                  <a14:compatExt spid="_x0000_s7169"/>
                </a:ext>
                <a:ext uri="{FF2B5EF4-FFF2-40B4-BE49-F238E27FC236}">
                  <a16:creationId xmlns:a16="http://schemas.microsoft.com/office/drawing/2014/main" xmlns="" id="{00000000-0008-0000-0800-00000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xdr:row>
          <xdr:rowOff>12700</xdr:rowOff>
        </xdr:from>
        <xdr:to>
          <xdr:col>0</xdr:col>
          <xdr:colOff>635000</xdr:colOff>
          <xdr:row>1</xdr:row>
          <xdr:rowOff>177800</xdr:rowOff>
        </xdr:to>
        <xdr:sp macro="" textlink="">
          <xdr:nvSpPr>
            <xdr:cNvPr id="7170" name="Button 2" hidden="1">
              <a:extLst>
                <a:ext uri="{63B3BB69-23CF-44E3-9099-C40C66FF867C}">
                  <a14:compatExt spid="_x0000_s7170"/>
                </a:ext>
                <a:ext uri="{FF2B5EF4-FFF2-40B4-BE49-F238E27FC236}">
                  <a16:creationId xmlns:a16="http://schemas.microsoft.com/office/drawing/2014/main" xmlns="" id="{00000000-0008-0000-0800-000002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Run</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635000</xdr:colOff>
          <xdr:row>0</xdr:row>
          <xdr:rowOff>177800</xdr:rowOff>
        </xdr:to>
        <xdr:sp macro="" textlink="">
          <xdr:nvSpPr>
            <xdr:cNvPr id="49153" name="Button 1" hidden="1">
              <a:extLst>
                <a:ext uri="{63B3BB69-23CF-44E3-9099-C40C66FF867C}">
                  <a14:compatExt spid="_x0000_s49153"/>
                </a:ext>
                <a:ext uri="{FF2B5EF4-FFF2-40B4-BE49-F238E27FC236}">
                  <a16:creationId xmlns:a16="http://schemas.microsoft.com/office/drawing/2014/main" xmlns="" id="{00000000-0008-0000-0900-000001C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xdr:row>
          <xdr:rowOff>12700</xdr:rowOff>
        </xdr:from>
        <xdr:to>
          <xdr:col>0</xdr:col>
          <xdr:colOff>635000</xdr:colOff>
          <xdr:row>1</xdr:row>
          <xdr:rowOff>177800</xdr:rowOff>
        </xdr:to>
        <xdr:sp macro="" textlink="">
          <xdr:nvSpPr>
            <xdr:cNvPr id="49154" name="Button 2" hidden="1">
              <a:extLst>
                <a:ext uri="{63B3BB69-23CF-44E3-9099-C40C66FF867C}">
                  <a14:compatExt spid="_x0000_s49154"/>
                </a:ext>
                <a:ext uri="{FF2B5EF4-FFF2-40B4-BE49-F238E27FC236}">
                  <a16:creationId xmlns:a16="http://schemas.microsoft.com/office/drawing/2014/main" xmlns="" id="{00000000-0008-0000-0900-000002C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Run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vmlDrawing" Target="../drawings/vmlDrawing1.vml"/><Relationship Id="rId2"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4" Type="http://schemas.openxmlformats.org/officeDocument/2006/relationships/ctrlProp" Target="../ctrlProps/ctrlProp1.xml"/><Relationship Id="rId5" Type="http://schemas.openxmlformats.org/officeDocument/2006/relationships/ctrlProp" Target="../ctrlProps/ctrlProp2.xml"/><Relationship Id="rId6" Type="http://schemas.openxmlformats.org/officeDocument/2006/relationships/comments" Target="../comments2.xml"/><Relationship Id="rId1" Type="http://schemas.openxmlformats.org/officeDocument/2006/relationships/printerSettings" Target="../printerSettings/printerSettings1.bin"/><Relationship Id="rId2"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xml"/><Relationship Id="rId4" Type="http://schemas.openxmlformats.org/officeDocument/2006/relationships/ctrlProp" Target="../ctrlProps/ctrlProp4.xml"/><Relationship Id="rId1" Type="http://schemas.openxmlformats.org/officeDocument/2006/relationships/drawing" Target="../drawings/drawing2.xml"/><Relationship Id="rId2"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4" Type="http://schemas.openxmlformats.org/officeDocument/2006/relationships/ctrlProp" Target="../ctrlProps/ctrlProp5.xml"/><Relationship Id="rId5" Type="http://schemas.openxmlformats.org/officeDocument/2006/relationships/ctrlProp" Target="../ctrlProps/ctrlProp6.xml"/><Relationship Id="rId1" Type="http://schemas.openxmlformats.org/officeDocument/2006/relationships/printerSettings" Target="../printerSettings/printerSettings2.bin"/><Relationship Id="rId2"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7.xml"/><Relationship Id="rId4" Type="http://schemas.openxmlformats.org/officeDocument/2006/relationships/ctrlProp" Target="../ctrlProps/ctrlProp8.xml"/><Relationship Id="rId1" Type="http://schemas.openxmlformats.org/officeDocument/2006/relationships/drawing" Target="../drawings/drawing4.xml"/><Relationship Id="rId2"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9.xml"/><Relationship Id="rId4" Type="http://schemas.openxmlformats.org/officeDocument/2006/relationships/ctrlProp" Target="../ctrlProps/ctrlProp10.xml"/><Relationship Id="rId1" Type="http://schemas.openxmlformats.org/officeDocument/2006/relationships/drawing" Target="../drawings/drawing5.xml"/><Relationship Id="rId2" Type="http://schemas.openxmlformats.org/officeDocument/2006/relationships/vmlDrawing" Target="../drawings/vmlDrawing6.v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1.xml"/><Relationship Id="rId4" Type="http://schemas.openxmlformats.org/officeDocument/2006/relationships/ctrlProp" Target="../ctrlProps/ctrlProp12.xml"/><Relationship Id="rId1" Type="http://schemas.openxmlformats.org/officeDocument/2006/relationships/drawing" Target="../drawings/drawing6.xml"/><Relationship Id="rId2" Type="http://schemas.openxmlformats.org/officeDocument/2006/relationships/vmlDrawing" Target="../drawings/vmlDrawing7.v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3.xml"/><Relationship Id="rId4" Type="http://schemas.openxmlformats.org/officeDocument/2006/relationships/ctrlProp" Target="../ctrlProps/ctrlProp14.xml"/><Relationship Id="rId1" Type="http://schemas.openxmlformats.org/officeDocument/2006/relationships/drawing" Target="../drawings/drawing7.xml"/><Relationship Id="rId2" Type="http://schemas.openxmlformats.org/officeDocument/2006/relationships/vmlDrawing" Target="../drawings/vmlDrawing8.v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5.xml"/><Relationship Id="rId4" Type="http://schemas.openxmlformats.org/officeDocument/2006/relationships/ctrlProp" Target="../ctrlProps/ctrlProp16.xml"/><Relationship Id="rId1" Type="http://schemas.openxmlformats.org/officeDocument/2006/relationships/drawing" Target="../drawings/drawing8.xml"/><Relationship Id="rId2" Type="http://schemas.openxmlformats.org/officeDocument/2006/relationships/vmlDrawing" Target="../drawings/vmlDrawing9.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5"/>
  <sheetViews>
    <sheetView topLeftCell="A12" workbookViewId="0">
      <selection activeCell="A37" sqref="A37"/>
    </sheetView>
  </sheetViews>
  <sheetFormatPr baseColWidth="10" defaultColWidth="9.1640625" defaultRowHeight="19" x14ac:dyDescent="0.25"/>
  <cols>
    <col min="1" max="1" width="15.6640625" style="14" customWidth="1"/>
    <col min="2" max="2" width="160.33203125" style="15" customWidth="1"/>
    <col min="3" max="16384" width="9.1640625" style="14"/>
  </cols>
  <sheetData>
    <row r="1" spans="1:1" x14ac:dyDescent="0.25">
      <c r="A1" s="13" t="s">
        <v>31</v>
      </c>
    </row>
    <row r="2" spans="1:1" x14ac:dyDescent="0.25">
      <c r="A2" s="14" t="s">
        <v>33</v>
      </c>
    </row>
    <row r="3" spans="1:1" x14ac:dyDescent="0.25">
      <c r="A3" s="14" t="s">
        <v>32</v>
      </c>
    </row>
    <row r="5" spans="1:1" x14ac:dyDescent="0.25">
      <c r="A5" s="16" t="s">
        <v>55</v>
      </c>
    </row>
    <row r="6" spans="1:1" x14ac:dyDescent="0.25">
      <c r="A6" s="17" t="s">
        <v>56</v>
      </c>
    </row>
    <row r="7" spans="1:1" x14ac:dyDescent="0.25">
      <c r="A7" s="13"/>
    </row>
    <row r="8" spans="1:1" x14ac:dyDescent="0.25">
      <c r="A8" s="13" t="s">
        <v>51</v>
      </c>
    </row>
    <row r="9" spans="1:1" x14ac:dyDescent="0.25">
      <c r="A9" s="14" t="s">
        <v>53</v>
      </c>
    </row>
    <row r="10" spans="1:1" x14ac:dyDescent="0.25">
      <c r="A10" s="14" t="s">
        <v>54</v>
      </c>
    </row>
    <row r="11" spans="1:1" x14ac:dyDescent="0.25">
      <c r="A11" s="14" t="s">
        <v>52</v>
      </c>
    </row>
    <row r="12" spans="1:1" x14ac:dyDescent="0.25">
      <c r="A12" s="13"/>
    </row>
    <row r="13" spans="1:1" x14ac:dyDescent="0.25">
      <c r="A13" s="14" t="s">
        <v>57</v>
      </c>
    </row>
    <row r="14" spans="1:1" x14ac:dyDescent="0.25">
      <c r="A14" s="14" t="s">
        <v>58</v>
      </c>
    </row>
    <row r="15" spans="1:1" x14ac:dyDescent="0.25">
      <c r="A15" s="13"/>
    </row>
    <row r="16" spans="1:1" ht="20" thickBot="1" x14ac:dyDescent="0.3">
      <c r="A16" s="13" t="s">
        <v>42</v>
      </c>
    </row>
    <row r="17" spans="1:2" ht="38" x14ac:dyDescent="0.25">
      <c r="A17" s="18" t="s">
        <v>34</v>
      </c>
      <c r="B17" s="19" t="s">
        <v>61</v>
      </c>
    </row>
    <row r="18" spans="1:2" ht="38" x14ac:dyDescent="0.25">
      <c r="A18" s="20"/>
      <c r="B18" s="21" t="s">
        <v>35</v>
      </c>
    </row>
    <row r="19" spans="1:2" ht="20" thickBot="1" x14ac:dyDescent="0.3">
      <c r="A19" s="22"/>
      <c r="B19" s="23" t="s">
        <v>62</v>
      </c>
    </row>
    <row r="20" spans="1:2" ht="38" x14ac:dyDescent="0.25">
      <c r="A20" s="18" t="s">
        <v>36</v>
      </c>
      <c r="B20" s="19" t="s">
        <v>63</v>
      </c>
    </row>
    <row r="21" spans="1:2" ht="39" thickBot="1" x14ac:dyDescent="0.3">
      <c r="A21" s="22"/>
      <c r="B21" s="23" t="s">
        <v>38</v>
      </c>
    </row>
    <row r="22" spans="1:2" x14ac:dyDescent="0.25">
      <c r="A22" s="18" t="s">
        <v>39</v>
      </c>
      <c r="B22" s="19" t="s">
        <v>64</v>
      </c>
    </row>
    <row r="23" spans="1:2" ht="20" thickBot="1" x14ac:dyDescent="0.3">
      <c r="A23" s="24"/>
      <c r="B23" s="23" t="s">
        <v>65</v>
      </c>
    </row>
    <row r="24" spans="1:2" ht="20" thickBot="1" x14ac:dyDescent="0.3">
      <c r="A24" s="25" t="s">
        <v>40</v>
      </c>
      <c r="B24" s="26" t="s">
        <v>66</v>
      </c>
    </row>
    <row r="25" spans="1:2" ht="20" thickBot="1" x14ac:dyDescent="0.3">
      <c r="A25" s="25" t="s">
        <v>41</v>
      </c>
      <c r="B25" s="26" t="s">
        <v>67</v>
      </c>
    </row>
    <row r="26" spans="1:2" ht="20" thickBot="1" x14ac:dyDescent="0.3">
      <c r="A26" s="25" t="s">
        <v>43</v>
      </c>
      <c r="B26" s="26" t="s">
        <v>44</v>
      </c>
    </row>
    <row r="27" spans="1:2" ht="20" thickBot="1" x14ac:dyDescent="0.3">
      <c r="A27" s="25" t="s">
        <v>45</v>
      </c>
      <c r="B27" s="26" t="s">
        <v>68</v>
      </c>
    </row>
    <row r="28" spans="1:2" ht="20" thickBot="1" x14ac:dyDescent="0.3">
      <c r="A28" s="25" t="s">
        <v>46</v>
      </c>
      <c r="B28" s="26" t="s">
        <v>47</v>
      </c>
    </row>
    <row r="29" spans="1:2" ht="20" thickBot="1" x14ac:dyDescent="0.3">
      <c r="A29" s="25" t="s">
        <v>48</v>
      </c>
      <c r="B29" s="26" t="s">
        <v>49</v>
      </c>
    </row>
    <row r="30" spans="1:2" x14ac:dyDescent="0.25">
      <c r="A30" s="13"/>
    </row>
    <row r="31" spans="1:2" x14ac:dyDescent="0.25">
      <c r="A31" s="13"/>
      <c r="B31" s="15" t="s">
        <v>69</v>
      </c>
    </row>
    <row r="32" spans="1:2" x14ac:dyDescent="0.25">
      <c r="A32" s="13"/>
      <c r="B32" s="15" t="s">
        <v>70</v>
      </c>
    </row>
    <row r="34" spans="1:1" x14ac:dyDescent="0.25">
      <c r="A34" s="13" t="s">
        <v>59</v>
      </c>
    </row>
    <row r="35" spans="1:1" x14ac:dyDescent="0.25">
      <c r="A35" s="13" t="s">
        <v>60</v>
      </c>
    </row>
  </sheetData>
  <pageMargins left="0.7" right="0.7" top="0.75" bottom="0.75" header="0.3" footer="0.3"/>
  <pageSetup paperSize="0" orientation="portrait" horizontalDpi="0" verticalDpi="0" copie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ata" enableFormatConditionsCalculation="0"/>
  <dimension ref="A1:C34"/>
  <sheetViews>
    <sheetView zoomScale="130" zoomScaleNormal="130" workbookViewId="0">
      <selection activeCell="D6" sqref="D6"/>
    </sheetView>
  </sheetViews>
  <sheetFormatPr baseColWidth="10" defaultColWidth="8.83203125" defaultRowHeight="15" x14ac:dyDescent="0.2"/>
  <sheetData>
    <row r="1" spans="1:3" x14ac:dyDescent="0.2">
      <c r="A1" t="s">
        <v>50</v>
      </c>
    </row>
    <row r="2" spans="1:3" x14ac:dyDescent="0.2">
      <c r="A2" t="s">
        <v>21</v>
      </c>
      <c r="B2" t="s">
        <v>23</v>
      </c>
      <c r="C2">
        <v>30</v>
      </c>
    </row>
    <row r="3" spans="1:3" x14ac:dyDescent="0.2">
      <c r="A3" t="s">
        <v>22</v>
      </c>
      <c r="B3" t="s">
        <v>0</v>
      </c>
      <c r="C3">
        <v>2</v>
      </c>
    </row>
    <row r="5" spans="1:3" x14ac:dyDescent="0.2">
      <c r="B5" t="s">
        <v>15</v>
      </c>
      <c r="C5" t="s">
        <v>37</v>
      </c>
    </row>
    <row r="6" spans="1:3" x14ac:dyDescent="0.2">
      <c r="B6">
        <f t="shared" ref="B6:B34" ca="1" si="0">RANDBETWEEN(1,100)</f>
        <v>27</v>
      </c>
      <c r="C6">
        <f ca="1">$C$2+B6*$C$3</f>
        <v>84</v>
      </c>
    </row>
    <row r="7" spans="1:3" x14ac:dyDescent="0.2">
      <c r="B7">
        <f t="shared" ca="1" si="0"/>
        <v>55</v>
      </c>
      <c r="C7">
        <f t="shared" ref="C7:C34" ca="1" si="1">$C$2+B7*$C$3</f>
        <v>140</v>
      </c>
    </row>
    <row r="8" spans="1:3" x14ac:dyDescent="0.2">
      <c r="B8">
        <f t="shared" ca="1" si="0"/>
        <v>74</v>
      </c>
      <c r="C8">
        <f t="shared" ca="1" si="1"/>
        <v>178</v>
      </c>
    </row>
    <row r="9" spans="1:3" x14ac:dyDescent="0.2">
      <c r="B9">
        <f t="shared" ca="1" si="0"/>
        <v>86</v>
      </c>
      <c r="C9">
        <f t="shared" ca="1" si="1"/>
        <v>202</v>
      </c>
    </row>
    <row r="10" spans="1:3" x14ac:dyDescent="0.2">
      <c r="B10">
        <f t="shared" ca="1" si="0"/>
        <v>16</v>
      </c>
      <c r="C10">
        <f t="shared" ca="1" si="1"/>
        <v>62</v>
      </c>
    </row>
    <row r="11" spans="1:3" x14ac:dyDescent="0.2">
      <c r="B11">
        <f t="shared" ca="1" si="0"/>
        <v>61</v>
      </c>
      <c r="C11">
        <f t="shared" ca="1" si="1"/>
        <v>152</v>
      </c>
    </row>
    <row r="12" spans="1:3" x14ac:dyDescent="0.2">
      <c r="B12">
        <f t="shared" ca="1" si="0"/>
        <v>99</v>
      </c>
      <c r="C12">
        <f t="shared" ca="1" si="1"/>
        <v>228</v>
      </c>
    </row>
    <row r="13" spans="1:3" x14ac:dyDescent="0.2">
      <c r="B13">
        <f t="shared" ca="1" si="0"/>
        <v>45</v>
      </c>
      <c r="C13">
        <f t="shared" ca="1" si="1"/>
        <v>120</v>
      </c>
    </row>
    <row r="14" spans="1:3" x14ac:dyDescent="0.2">
      <c r="B14">
        <f t="shared" ca="1" si="0"/>
        <v>99</v>
      </c>
      <c r="C14">
        <f t="shared" ca="1" si="1"/>
        <v>228</v>
      </c>
    </row>
    <row r="15" spans="1:3" x14ac:dyDescent="0.2">
      <c r="B15">
        <f t="shared" ca="1" si="0"/>
        <v>87</v>
      </c>
      <c r="C15">
        <f t="shared" ca="1" si="1"/>
        <v>204</v>
      </c>
    </row>
    <row r="16" spans="1:3" x14ac:dyDescent="0.2">
      <c r="B16">
        <f t="shared" ca="1" si="0"/>
        <v>93</v>
      </c>
      <c r="C16">
        <f t="shared" ca="1" si="1"/>
        <v>216</v>
      </c>
    </row>
    <row r="17" spans="2:3" x14ac:dyDescent="0.2">
      <c r="B17">
        <f t="shared" ca="1" si="0"/>
        <v>2</v>
      </c>
      <c r="C17">
        <f t="shared" ca="1" si="1"/>
        <v>34</v>
      </c>
    </row>
    <row r="18" spans="2:3" x14ac:dyDescent="0.2">
      <c r="B18">
        <f t="shared" ca="1" si="0"/>
        <v>42</v>
      </c>
      <c r="C18">
        <f t="shared" ca="1" si="1"/>
        <v>114</v>
      </c>
    </row>
    <row r="19" spans="2:3" x14ac:dyDescent="0.2">
      <c r="B19">
        <f t="shared" ca="1" si="0"/>
        <v>19</v>
      </c>
      <c r="C19">
        <f t="shared" ca="1" si="1"/>
        <v>68</v>
      </c>
    </row>
    <row r="20" spans="2:3" x14ac:dyDescent="0.2">
      <c r="B20">
        <f t="shared" ca="1" si="0"/>
        <v>5</v>
      </c>
      <c r="C20">
        <f t="shared" ca="1" si="1"/>
        <v>40</v>
      </c>
    </row>
    <row r="21" spans="2:3" x14ac:dyDescent="0.2">
      <c r="B21">
        <f t="shared" ca="1" si="0"/>
        <v>79</v>
      </c>
      <c r="C21">
        <f t="shared" ca="1" si="1"/>
        <v>188</v>
      </c>
    </row>
    <row r="22" spans="2:3" x14ac:dyDescent="0.2">
      <c r="B22">
        <f t="shared" ca="1" si="0"/>
        <v>98</v>
      </c>
      <c r="C22">
        <f t="shared" ca="1" si="1"/>
        <v>226</v>
      </c>
    </row>
    <row r="23" spans="2:3" x14ac:dyDescent="0.2">
      <c r="B23">
        <f t="shared" ca="1" si="0"/>
        <v>35</v>
      </c>
      <c r="C23">
        <f t="shared" ca="1" si="1"/>
        <v>100</v>
      </c>
    </row>
    <row r="24" spans="2:3" x14ac:dyDescent="0.2">
      <c r="B24">
        <f t="shared" ca="1" si="0"/>
        <v>32</v>
      </c>
      <c r="C24">
        <f t="shared" ca="1" si="1"/>
        <v>94</v>
      </c>
    </row>
    <row r="25" spans="2:3" x14ac:dyDescent="0.2">
      <c r="B25">
        <f t="shared" ca="1" si="0"/>
        <v>70</v>
      </c>
      <c r="C25">
        <f t="shared" ca="1" si="1"/>
        <v>170</v>
      </c>
    </row>
    <row r="26" spans="2:3" x14ac:dyDescent="0.2">
      <c r="B26">
        <f t="shared" ca="1" si="0"/>
        <v>19</v>
      </c>
      <c r="C26">
        <f t="shared" ca="1" si="1"/>
        <v>68</v>
      </c>
    </row>
    <row r="27" spans="2:3" x14ac:dyDescent="0.2">
      <c r="B27">
        <f t="shared" ca="1" si="0"/>
        <v>42</v>
      </c>
      <c r="C27">
        <f t="shared" ca="1" si="1"/>
        <v>114</v>
      </c>
    </row>
    <row r="28" spans="2:3" x14ac:dyDescent="0.2">
      <c r="B28">
        <f t="shared" ca="1" si="0"/>
        <v>71</v>
      </c>
      <c r="C28">
        <f t="shared" ca="1" si="1"/>
        <v>172</v>
      </c>
    </row>
    <row r="29" spans="2:3" x14ac:dyDescent="0.2">
      <c r="B29">
        <f t="shared" ca="1" si="0"/>
        <v>90</v>
      </c>
      <c r="C29">
        <f t="shared" ca="1" si="1"/>
        <v>210</v>
      </c>
    </row>
    <row r="30" spans="2:3" x14ac:dyDescent="0.2">
      <c r="B30">
        <f t="shared" ca="1" si="0"/>
        <v>71</v>
      </c>
      <c r="C30">
        <f t="shared" ca="1" si="1"/>
        <v>172</v>
      </c>
    </row>
    <row r="31" spans="2:3" x14ac:dyDescent="0.2">
      <c r="B31">
        <f t="shared" ca="1" si="0"/>
        <v>94</v>
      </c>
      <c r="C31">
        <f t="shared" ca="1" si="1"/>
        <v>218</v>
      </c>
    </row>
    <row r="32" spans="2:3" x14ac:dyDescent="0.2">
      <c r="B32">
        <f t="shared" ca="1" si="0"/>
        <v>12</v>
      </c>
      <c r="C32">
        <f t="shared" ca="1" si="1"/>
        <v>54</v>
      </c>
    </row>
    <row r="33" spans="2:3" x14ac:dyDescent="0.2">
      <c r="B33">
        <f t="shared" ca="1" si="0"/>
        <v>55</v>
      </c>
      <c r="C33">
        <f t="shared" ca="1" si="1"/>
        <v>140</v>
      </c>
    </row>
    <row r="34" spans="2:3" x14ac:dyDescent="0.2">
      <c r="B34">
        <f t="shared" ca="1" si="0"/>
        <v>93</v>
      </c>
      <c r="C34">
        <f t="shared" ca="1" si="1"/>
        <v>216</v>
      </c>
    </row>
  </sheetData>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asic" enableFormatConditionsCalculation="0"/>
  <dimension ref="A1:N62"/>
  <sheetViews>
    <sheetView zoomScale="130" zoomScaleNormal="130" workbookViewId="0">
      <pane ySplit="3" topLeftCell="A4" activePane="bottomLeft" state="frozen"/>
      <selection pane="bottomLeft" activeCell="C1" sqref="C1"/>
    </sheetView>
  </sheetViews>
  <sheetFormatPr baseColWidth="10" defaultColWidth="8.83203125" defaultRowHeight="15" x14ac:dyDescent="0.2"/>
  <cols>
    <col min="1" max="1" width="7" customWidth="1"/>
    <col min="2" max="2" width="7.83203125" bestFit="1" customWidth="1"/>
    <col min="3" max="3" width="8.83203125" customWidth="1"/>
    <col min="4" max="4" width="7" customWidth="1"/>
    <col min="5" max="5" width="8.1640625" customWidth="1"/>
    <col min="6" max="6" width="6.83203125" bestFit="1" customWidth="1"/>
    <col min="7" max="7" width="8.6640625" bestFit="1" customWidth="1"/>
    <col min="8" max="8" width="11.1640625" bestFit="1" customWidth="1"/>
    <col min="9" max="9" width="10.83203125" customWidth="1"/>
    <col min="10" max="10" width="9.1640625" bestFit="1" customWidth="1"/>
    <col min="11" max="11" width="6.83203125" bestFit="1" customWidth="1"/>
    <col min="12" max="12" width="9.1640625" bestFit="1" customWidth="1"/>
    <col min="13" max="13" width="11.6640625" customWidth="1"/>
    <col min="14" max="14" width="12.83203125" customWidth="1"/>
  </cols>
  <sheetData>
    <row r="1" spans="1:14" ht="17.5" customHeight="1" x14ac:dyDescent="0.2">
      <c r="B1" t="s">
        <v>19</v>
      </c>
      <c r="C1">
        <v>1.0666479742323505</v>
      </c>
      <c r="E1" t="s">
        <v>14</v>
      </c>
      <c r="F1">
        <v>1E-4</v>
      </c>
      <c r="L1" t="s">
        <v>4</v>
      </c>
    </row>
    <row r="2" spans="1:14" ht="17.5" customHeight="1" x14ac:dyDescent="0.2">
      <c r="B2" t="s">
        <v>0</v>
      </c>
      <c r="C2">
        <v>2.5741401222765083</v>
      </c>
      <c r="H2" t="s">
        <v>3</v>
      </c>
      <c r="K2" t="s">
        <v>5</v>
      </c>
    </row>
    <row r="3" spans="1:14" s="2" customFormat="1" x14ac:dyDescent="0.2">
      <c r="A3" s="2" t="s">
        <v>15</v>
      </c>
      <c r="B3" s="2" t="s">
        <v>16</v>
      </c>
      <c r="C3" s="2" t="s">
        <v>19</v>
      </c>
      <c r="D3" s="2" t="s">
        <v>0</v>
      </c>
      <c r="E3" s="2" t="s">
        <v>17</v>
      </c>
      <c r="F3" s="2" t="s">
        <v>1</v>
      </c>
      <c r="G3" s="2" t="s">
        <v>7</v>
      </c>
      <c r="H3" s="2" t="s">
        <v>10</v>
      </c>
      <c r="I3" s="2" t="s">
        <v>8</v>
      </c>
      <c r="J3" s="2" t="s">
        <v>11</v>
      </c>
      <c r="K3" s="2" t="s">
        <v>6</v>
      </c>
      <c r="L3" s="2" t="s">
        <v>9</v>
      </c>
      <c r="M3" s="2" t="s">
        <v>12</v>
      </c>
      <c r="N3" s="2" t="s">
        <v>13</v>
      </c>
    </row>
    <row r="4" spans="1:14" x14ac:dyDescent="0.2">
      <c r="A4">
        <v>14</v>
      </c>
      <c r="B4">
        <v>58</v>
      </c>
      <c r="C4">
        <f>C1</f>
        <v>1.0666479742323505</v>
      </c>
      <c r="D4">
        <f>C2</f>
        <v>2.5741401222765083</v>
      </c>
      <c r="E4">
        <f>C4+D4*A4</f>
        <v>37.104609686103473</v>
      </c>
      <c r="F4" s="1">
        <f>(B4-E4)^2</f>
        <v>436.61733637008081</v>
      </c>
      <c r="G4" s="3">
        <f>(((C4+0.01)+A4*D4)-B4)^2</f>
        <v>436.19952856380297</v>
      </c>
      <c r="H4" s="3">
        <f>(G4-F4)/0.01</f>
        <v>-41.780780627783543</v>
      </c>
      <c r="I4" s="3">
        <f>(((D4+0.01)*A4+C4)-B4)^2</f>
        <v>430.78622708219007</v>
      </c>
      <c r="J4" s="3">
        <f>(I4-F4)/0.01</f>
        <v>-583.11092878907402</v>
      </c>
      <c r="K4" s="3">
        <f>2*(E4-B4)</f>
        <v>-41.790780627793055</v>
      </c>
      <c r="L4" s="3">
        <f>K4*A4</f>
        <v>-585.07092878910271</v>
      </c>
      <c r="M4" s="3">
        <f>D4-L4*$F$1</f>
        <v>2.6326472151554188</v>
      </c>
      <c r="N4" s="3">
        <f>C4-K4*$F$1</f>
        <v>1.0708270522951298</v>
      </c>
    </row>
    <row r="5" spans="1:14" x14ac:dyDescent="0.2">
      <c r="A5">
        <v>86</v>
      </c>
      <c r="B5">
        <v>202</v>
      </c>
      <c r="C5">
        <f>N4</f>
        <v>1.0708270522951298</v>
      </c>
      <c r="D5">
        <f>M4</f>
        <v>2.6326472151554188</v>
      </c>
      <c r="E5">
        <f>C5+D5*A5</f>
        <v>227.47848755566113</v>
      </c>
      <c r="F5" s="1">
        <f>(B5-E5)^2</f>
        <v>649.15332812397924</v>
      </c>
      <c r="G5" s="3">
        <f>(((C5+0.01)+A5*D5)-B5)^2</f>
        <v>649.66299787509195</v>
      </c>
      <c r="H5" s="3">
        <f>(G5-F5)/0.01</f>
        <v>50.96697511127104</v>
      </c>
      <c r="I5" s="3">
        <f>(((D5+0.01)*A5+C5)-B5)^2</f>
        <v>693.71592671971553</v>
      </c>
      <c r="J5" s="3">
        <f>(I5-F5)/0.01</f>
        <v>4456.259859573629</v>
      </c>
      <c r="K5" s="3">
        <f t="shared" ref="K5:K32" si="0">2*(E5-B5)</f>
        <v>50.956975111322265</v>
      </c>
      <c r="L5" s="3">
        <f>K5*A5</f>
        <v>4382.2998595737145</v>
      </c>
      <c r="M5" s="3">
        <f t="shared" ref="M5:M32" si="1">D5-L5*$F$1</f>
        <v>2.1944172291980473</v>
      </c>
      <c r="N5" s="3">
        <f t="shared" ref="N5:N32" si="2">C5-K5*$F$1</f>
        <v>1.0657313547839975</v>
      </c>
    </row>
    <row r="6" spans="1:14" x14ac:dyDescent="0.2">
      <c r="A6">
        <v>28</v>
      </c>
      <c r="B6">
        <v>86</v>
      </c>
      <c r="C6">
        <f>N5</f>
        <v>1.0657313547839975</v>
      </c>
      <c r="D6">
        <f>M5</f>
        <v>2.1944172291980473</v>
      </c>
      <c r="E6">
        <f>C6+D6*A6</f>
        <v>62.509413772329324</v>
      </c>
      <c r="F6" s="1">
        <f t="shared" ref="F6:F32" si="3">(B6-E6)^2</f>
        <v>551.80764131963122</v>
      </c>
      <c r="G6" s="3">
        <f t="shared" ref="G6:G32" si="4">(((C6+0.01)+A6*D6)-B6)^2</f>
        <v>551.33792959507787</v>
      </c>
      <c r="H6" s="3">
        <f t="shared" ref="H6:H32" si="5">(G6-F6)/0.01</f>
        <v>-46.971172455334909</v>
      </c>
      <c r="I6" s="3">
        <f t="shared" ref="I6:I32" si="6">(((D6+0.01)*A6+C6)-B6)^2</f>
        <v>538.73131303213597</v>
      </c>
      <c r="J6" s="3">
        <f t="shared" ref="J6:J32" si="7">(I6-F6)/0.01</f>
        <v>-1307.6328287495244</v>
      </c>
      <c r="K6" s="3">
        <f t="shared" si="0"/>
        <v>-46.981172455341351</v>
      </c>
      <c r="L6" s="3">
        <f t="shared" ref="L6:L32" si="8">K6*A6</f>
        <v>-1315.4728287495577</v>
      </c>
      <c r="M6" s="3">
        <f t="shared" si="1"/>
        <v>2.325964512073003</v>
      </c>
      <c r="N6" s="3">
        <f t="shared" si="2"/>
        <v>1.0704294720295315</v>
      </c>
    </row>
    <row r="7" spans="1:14" x14ac:dyDescent="0.2">
      <c r="A7">
        <v>51</v>
      </c>
      <c r="B7">
        <v>132</v>
      </c>
      <c r="C7">
        <f t="shared" ref="C7:C32" si="9">N6</f>
        <v>1.0704294720295315</v>
      </c>
      <c r="D7">
        <f t="shared" ref="D7:D32" si="10">M6</f>
        <v>2.325964512073003</v>
      </c>
      <c r="E7">
        <f t="shared" ref="E7:E32" si="11">C7+D7*A7</f>
        <v>119.69461958775268</v>
      </c>
      <c r="F7" s="1">
        <f t="shared" si="3"/>
        <v>151.42238709011994</v>
      </c>
      <c r="G7" s="3">
        <f t="shared" si="4"/>
        <v>151.17637948187487</v>
      </c>
      <c r="H7" s="3">
        <f t="shared" si="5"/>
        <v>-24.600760824506551</v>
      </c>
      <c r="I7" s="3">
        <f t="shared" si="6"/>
        <v>139.1309990696279</v>
      </c>
      <c r="J7" s="3">
        <f t="shared" si="7"/>
        <v>-1229.1388020492036</v>
      </c>
      <c r="K7" s="3">
        <f t="shared" si="0"/>
        <v>-24.610760824494633</v>
      </c>
      <c r="L7" s="3">
        <f t="shared" si="8"/>
        <v>-1255.1488020492263</v>
      </c>
      <c r="M7" s="3">
        <f t="shared" si="1"/>
        <v>2.4514793922779257</v>
      </c>
      <c r="N7" s="3">
        <f t="shared" si="2"/>
        <v>1.072890548111981</v>
      </c>
    </row>
    <row r="8" spans="1:14" x14ac:dyDescent="0.2">
      <c r="A8">
        <v>28</v>
      </c>
      <c r="B8">
        <v>86</v>
      </c>
      <c r="C8">
        <f t="shared" si="9"/>
        <v>1.072890548111981</v>
      </c>
      <c r="D8">
        <f t="shared" si="10"/>
        <v>2.4514793922779257</v>
      </c>
      <c r="E8">
        <f t="shared" si="11"/>
        <v>69.714313531893907</v>
      </c>
      <c r="F8" s="1">
        <f t="shared" si="3"/>
        <v>265.22358373745391</v>
      </c>
      <c r="G8" s="3">
        <f t="shared" si="4"/>
        <v>264.89797000809205</v>
      </c>
      <c r="H8" s="3">
        <f t="shared" si="5"/>
        <v>-32.561372936186217</v>
      </c>
      <c r="I8" s="3">
        <f t="shared" si="6"/>
        <v>256.1819993153149</v>
      </c>
      <c r="J8" s="3">
        <f t="shared" si="7"/>
        <v>-904.15844221390103</v>
      </c>
      <c r="K8" s="3">
        <f t="shared" si="0"/>
        <v>-32.571372936212185</v>
      </c>
      <c r="L8" s="3">
        <f t="shared" si="8"/>
        <v>-911.99844221394119</v>
      </c>
      <c r="M8" s="3">
        <f t="shared" si="1"/>
        <v>2.5426792364993198</v>
      </c>
      <c r="N8" s="3">
        <f t="shared" si="2"/>
        <v>1.0761476854056022</v>
      </c>
    </row>
    <row r="9" spans="1:14" x14ac:dyDescent="0.2">
      <c r="A9">
        <v>29</v>
      </c>
      <c r="B9">
        <v>88</v>
      </c>
      <c r="C9">
        <f t="shared" si="9"/>
        <v>1.0761476854056022</v>
      </c>
      <c r="D9">
        <f t="shared" si="10"/>
        <v>2.5426792364993198</v>
      </c>
      <c r="E9">
        <f t="shared" si="11"/>
        <v>74.813845543885876</v>
      </c>
      <c r="F9" s="1">
        <f t="shared" si="3"/>
        <v>173.87466934049837</v>
      </c>
      <c r="G9" s="3">
        <f t="shared" si="4"/>
        <v>173.61104625137597</v>
      </c>
      <c r="H9" s="3">
        <f t="shared" si="5"/>
        <v>-26.362308912240451</v>
      </c>
      <c r="I9" s="3">
        <f t="shared" si="6"/>
        <v>166.31079975595239</v>
      </c>
      <c r="J9" s="3">
        <f t="shared" si="7"/>
        <v>-756.38695845459836</v>
      </c>
      <c r="K9" s="3">
        <f t="shared" si="0"/>
        <v>-26.372308912228249</v>
      </c>
      <c r="L9" s="3">
        <f t="shared" si="8"/>
        <v>-764.79695845461924</v>
      </c>
      <c r="M9" s="3">
        <f t="shared" si="1"/>
        <v>2.6191589323447819</v>
      </c>
      <c r="N9" s="3">
        <f t="shared" si="2"/>
        <v>1.078784916296825</v>
      </c>
    </row>
    <row r="10" spans="1:14" x14ac:dyDescent="0.2">
      <c r="A10">
        <v>72</v>
      </c>
      <c r="B10">
        <v>174</v>
      </c>
      <c r="C10">
        <f t="shared" si="9"/>
        <v>1.078784916296825</v>
      </c>
      <c r="D10">
        <f t="shared" si="10"/>
        <v>2.6191589323447819</v>
      </c>
      <c r="E10">
        <f t="shared" si="11"/>
        <v>189.65822804512112</v>
      </c>
      <c r="F10" s="1">
        <f t="shared" si="3"/>
        <v>245.18010551301759</v>
      </c>
      <c r="G10" s="3">
        <f t="shared" si="4"/>
        <v>245.49337007391972</v>
      </c>
      <c r="H10" s="3">
        <f t="shared" si="5"/>
        <v>31.326456090212673</v>
      </c>
      <c r="I10" s="3">
        <f t="shared" si="6"/>
        <v>268.24635389799198</v>
      </c>
      <c r="J10" s="3">
        <f t="shared" si="7"/>
        <v>2306.6248384974388</v>
      </c>
      <c r="K10" s="3">
        <f t="shared" si="0"/>
        <v>31.316456090242241</v>
      </c>
      <c r="L10" s="3">
        <f t="shared" si="8"/>
        <v>2254.7848384974413</v>
      </c>
      <c r="M10" s="3">
        <f t="shared" si="1"/>
        <v>2.3936804484950378</v>
      </c>
      <c r="N10" s="3">
        <f t="shared" si="2"/>
        <v>1.0756532706878008</v>
      </c>
    </row>
    <row r="11" spans="1:14" x14ac:dyDescent="0.2">
      <c r="A11">
        <v>62</v>
      </c>
      <c r="B11">
        <v>154</v>
      </c>
      <c r="C11">
        <f t="shared" si="9"/>
        <v>1.0756532706878008</v>
      </c>
      <c r="D11">
        <f t="shared" si="10"/>
        <v>2.3936804484950378</v>
      </c>
      <c r="E11">
        <f t="shared" si="11"/>
        <v>149.48384107738016</v>
      </c>
      <c r="F11" s="1">
        <f t="shared" si="3"/>
        <v>20.395691414358769</v>
      </c>
      <c r="G11" s="3">
        <f t="shared" si="4"/>
        <v>20.305468235906456</v>
      </c>
      <c r="H11" s="3">
        <f t="shared" si="5"/>
        <v>-9.0223178452312425</v>
      </c>
      <c r="I11" s="3">
        <f t="shared" si="6"/>
        <v>15.180054350310357</v>
      </c>
      <c r="J11" s="3">
        <f t="shared" si="7"/>
        <v>-521.56370640484124</v>
      </c>
      <c r="K11" s="3">
        <f t="shared" si="0"/>
        <v>-9.0323178452396746</v>
      </c>
      <c r="L11" s="3">
        <f t="shared" si="8"/>
        <v>-560.00370640485983</v>
      </c>
      <c r="M11" s="3">
        <f t="shared" si="1"/>
        <v>2.4496808191355237</v>
      </c>
      <c r="N11" s="3">
        <f t="shared" si="2"/>
        <v>1.0765565024723247</v>
      </c>
    </row>
    <row r="12" spans="1:14" x14ac:dyDescent="0.2">
      <c r="A12">
        <v>84</v>
      </c>
      <c r="B12">
        <v>198</v>
      </c>
      <c r="C12">
        <f t="shared" si="9"/>
        <v>1.0765565024723247</v>
      </c>
      <c r="D12">
        <f t="shared" si="10"/>
        <v>2.4496808191355237</v>
      </c>
      <c r="E12">
        <f t="shared" si="11"/>
        <v>206.84974530985633</v>
      </c>
      <c r="F12" s="1">
        <f t="shared" si="3"/>
        <v>78.317992049324133</v>
      </c>
      <c r="G12" s="3">
        <f t="shared" si="4"/>
        <v>78.495086955521103</v>
      </c>
      <c r="H12" s="3">
        <f t="shared" si="5"/>
        <v>17.709490619697021</v>
      </c>
      <c r="I12" s="3">
        <f t="shared" si="6"/>
        <v>93.891164169882288</v>
      </c>
      <c r="J12" s="3">
        <f t="shared" si="7"/>
        <v>1557.3172120558154</v>
      </c>
      <c r="K12" s="3">
        <f t="shared" si="0"/>
        <v>17.699490619712662</v>
      </c>
      <c r="L12" s="3">
        <f t="shared" si="8"/>
        <v>1486.7572120558636</v>
      </c>
      <c r="M12" s="3">
        <f t="shared" si="1"/>
        <v>2.3010050979299375</v>
      </c>
      <c r="N12" s="3">
        <f t="shared" si="2"/>
        <v>1.0747865534103533</v>
      </c>
    </row>
    <row r="13" spans="1:14" x14ac:dyDescent="0.2">
      <c r="A13">
        <v>15</v>
      </c>
      <c r="B13">
        <v>60</v>
      </c>
      <c r="C13">
        <f t="shared" si="9"/>
        <v>1.0747865534103533</v>
      </c>
      <c r="D13">
        <f t="shared" si="10"/>
        <v>2.3010050979299375</v>
      </c>
      <c r="E13">
        <f t="shared" si="11"/>
        <v>35.589863022359417</v>
      </c>
      <c r="F13" s="1">
        <f t="shared" si="3"/>
        <v>595.85478726717611</v>
      </c>
      <c r="G13" s="3">
        <f t="shared" si="4"/>
        <v>595.36668452762342</v>
      </c>
      <c r="H13" s="3">
        <f t="shared" si="5"/>
        <v>-48.810273955268713</v>
      </c>
      <c r="I13" s="3">
        <f t="shared" si="6"/>
        <v>588.55424617388405</v>
      </c>
      <c r="J13" s="3">
        <f t="shared" si="7"/>
        <v>-730.0541093292054</v>
      </c>
      <c r="K13" s="3">
        <f t="shared" si="0"/>
        <v>-48.820273955281166</v>
      </c>
      <c r="L13" s="3">
        <f t="shared" si="8"/>
        <v>-732.30410932921745</v>
      </c>
      <c r="M13" s="3">
        <f t="shared" si="1"/>
        <v>2.3742355088628591</v>
      </c>
      <c r="N13" s="3">
        <f t="shared" si="2"/>
        <v>1.0796685808058815</v>
      </c>
    </row>
    <row r="14" spans="1:14" x14ac:dyDescent="0.2">
      <c r="A14">
        <v>42</v>
      </c>
      <c r="B14">
        <v>114</v>
      </c>
      <c r="C14">
        <f t="shared" si="9"/>
        <v>1.0796685808058815</v>
      </c>
      <c r="D14">
        <f t="shared" si="10"/>
        <v>2.3742355088628591</v>
      </c>
      <c r="E14">
        <f t="shared" si="11"/>
        <v>100.79755995304596</v>
      </c>
      <c r="F14" s="1">
        <f t="shared" si="3"/>
        <v>174.30442319341574</v>
      </c>
      <c r="G14" s="3">
        <f t="shared" si="4"/>
        <v>174.04047439247691</v>
      </c>
      <c r="H14" s="3">
        <f t="shared" si="5"/>
        <v>-26.394880093883444</v>
      </c>
      <c r="I14" s="3">
        <f t="shared" si="6"/>
        <v>163.3907735539743</v>
      </c>
      <c r="J14" s="3">
        <f t="shared" si="7"/>
        <v>-1091.3649639441444</v>
      </c>
      <c r="K14" s="3">
        <f t="shared" si="0"/>
        <v>-26.404880093908076</v>
      </c>
      <c r="L14" s="3">
        <f t="shared" si="8"/>
        <v>-1109.0049639441393</v>
      </c>
      <c r="M14" s="3">
        <f t="shared" si="1"/>
        <v>2.4851360052572731</v>
      </c>
      <c r="N14" s="3">
        <f t="shared" si="2"/>
        <v>1.0823090688152723</v>
      </c>
    </row>
    <row r="15" spans="1:14" x14ac:dyDescent="0.2">
      <c r="A15">
        <v>62</v>
      </c>
      <c r="B15">
        <v>154</v>
      </c>
      <c r="C15">
        <f>N14</f>
        <v>1.0823090688152723</v>
      </c>
      <c r="D15">
        <f>M14</f>
        <v>2.4851360052572731</v>
      </c>
      <c r="E15">
        <f t="shared" si="11"/>
        <v>155.16074139476621</v>
      </c>
      <c r="F15" s="1">
        <f t="shared" si="3"/>
        <v>1.3473205855237957</v>
      </c>
      <c r="G15" s="3">
        <f t="shared" si="4"/>
        <v>1.3706354134190986</v>
      </c>
      <c r="H15" s="3">
        <f t="shared" si="5"/>
        <v>2.3314827895302814</v>
      </c>
      <c r="I15" s="3">
        <f t="shared" si="6"/>
        <v>3.1710399150338051</v>
      </c>
      <c r="J15" s="3">
        <f t="shared" si="7"/>
        <v>182.37193295100093</v>
      </c>
      <c r="K15" s="3">
        <f t="shared" si="0"/>
        <v>2.3214827895324106</v>
      </c>
      <c r="L15" s="3">
        <f t="shared" si="8"/>
        <v>143.93193295100946</v>
      </c>
      <c r="M15" s="3">
        <f t="shared" si="1"/>
        <v>2.4707428119621722</v>
      </c>
      <c r="N15" s="3">
        <f t="shared" si="2"/>
        <v>1.082076920536319</v>
      </c>
    </row>
    <row r="16" spans="1:14" x14ac:dyDescent="0.2">
      <c r="A16">
        <v>47</v>
      </c>
      <c r="B16">
        <v>124</v>
      </c>
      <c r="C16">
        <f t="shared" si="9"/>
        <v>1.082076920536319</v>
      </c>
      <c r="D16">
        <f t="shared" si="10"/>
        <v>2.4707428119621722</v>
      </c>
      <c r="E16">
        <f t="shared" si="11"/>
        <v>117.20698908275841</v>
      </c>
      <c r="F16" s="1">
        <f t="shared" si="3"/>
        <v>46.144997321763405</v>
      </c>
      <c r="G16" s="3">
        <f t="shared" si="4"/>
        <v>46.009237103418698</v>
      </c>
      <c r="H16" s="3">
        <f t="shared" si="5"/>
        <v>-13.576021834470708</v>
      </c>
      <c r="I16" s="3">
        <f t="shared" si="6"/>
        <v>39.980467059556325</v>
      </c>
      <c r="J16" s="3">
        <f t="shared" si="7"/>
        <v>-616.45302622070801</v>
      </c>
      <c r="K16" s="3">
        <f t="shared" si="0"/>
        <v>-13.586021834483176</v>
      </c>
      <c r="L16" s="3">
        <f t="shared" si="8"/>
        <v>-638.54302622070929</v>
      </c>
      <c r="M16" s="3">
        <f t="shared" si="1"/>
        <v>2.5345971145842432</v>
      </c>
      <c r="N16" s="3">
        <f t="shared" si="2"/>
        <v>1.0834355227197674</v>
      </c>
    </row>
    <row r="17" spans="1:14" x14ac:dyDescent="0.2">
      <c r="A17">
        <v>35</v>
      </c>
      <c r="B17">
        <v>100</v>
      </c>
      <c r="C17">
        <f t="shared" si="9"/>
        <v>1.0834355227197674</v>
      </c>
      <c r="D17">
        <f t="shared" si="10"/>
        <v>2.5345971145842432</v>
      </c>
      <c r="E17">
        <f t="shared" si="11"/>
        <v>89.794334533168282</v>
      </c>
      <c r="F17" s="1">
        <f t="shared" si="3"/>
        <v>104.15560762088147</v>
      </c>
      <c r="G17" s="3">
        <f t="shared" si="4"/>
        <v>103.95159431154472</v>
      </c>
      <c r="H17" s="3">
        <f t="shared" si="5"/>
        <v>-20.401330933674444</v>
      </c>
      <c r="I17" s="3">
        <f t="shared" si="6"/>
        <v>97.134141794099378</v>
      </c>
      <c r="J17" s="3">
        <f t="shared" si="7"/>
        <v>-702.14658267820903</v>
      </c>
      <c r="K17" s="3">
        <f t="shared" si="0"/>
        <v>-20.411330933663436</v>
      </c>
      <c r="L17" s="3">
        <f t="shared" si="8"/>
        <v>-714.39658267822028</v>
      </c>
      <c r="M17" s="3">
        <f t="shared" si="1"/>
        <v>2.606036772852065</v>
      </c>
      <c r="N17" s="3">
        <f t="shared" si="2"/>
        <v>1.0854766558131337</v>
      </c>
    </row>
    <row r="18" spans="1:14" x14ac:dyDescent="0.2">
      <c r="A18">
        <v>9</v>
      </c>
      <c r="B18">
        <v>48</v>
      </c>
      <c r="C18">
        <f t="shared" si="9"/>
        <v>1.0854766558131337</v>
      </c>
      <c r="D18">
        <f t="shared" si="10"/>
        <v>2.606036772852065</v>
      </c>
      <c r="E18">
        <f t="shared" si="11"/>
        <v>24.53980761148172</v>
      </c>
      <c r="F18" s="1">
        <f t="shared" si="3"/>
        <v>550.38062690629101</v>
      </c>
      <c r="G18" s="3">
        <f t="shared" si="4"/>
        <v>549.91152305852074</v>
      </c>
      <c r="H18" s="3">
        <f t="shared" si="5"/>
        <v>-46.910384777027048</v>
      </c>
      <c r="I18" s="3">
        <f t="shared" si="6"/>
        <v>546.16589227635779</v>
      </c>
      <c r="J18" s="3">
        <f t="shared" si="7"/>
        <v>-421.47346299332185</v>
      </c>
      <c r="K18" s="3">
        <f t="shared" si="0"/>
        <v>-46.92038477703656</v>
      </c>
      <c r="L18" s="3">
        <f t="shared" si="8"/>
        <v>-422.28346299332907</v>
      </c>
      <c r="M18" s="3">
        <f t="shared" si="1"/>
        <v>2.648265119151398</v>
      </c>
      <c r="N18" s="3">
        <f t="shared" si="2"/>
        <v>1.0901686942908373</v>
      </c>
    </row>
    <row r="19" spans="1:14" x14ac:dyDescent="0.2">
      <c r="A19">
        <v>38</v>
      </c>
      <c r="B19">
        <v>106</v>
      </c>
      <c r="C19">
        <f t="shared" si="9"/>
        <v>1.0901686942908373</v>
      </c>
      <c r="D19">
        <f t="shared" si="10"/>
        <v>2.648265119151398</v>
      </c>
      <c r="E19">
        <f t="shared" si="11"/>
        <v>101.72424322204397</v>
      </c>
      <c r="F19" s="1">
        <f t="shared" si="3"/>
        <v>18.28209602423696</v>
      </c>
      <c r="G19" s="3">
        <f t="shared" si="4"/>
        <v>18.196680888677793</v>
      </c>
      <c r="H19" s="3">
        <f t="shared" si="5"/>
        <v>-8.5415135559166799</v>
      </c>
      <c r="I19" s="3">
        <f t="shared" si="6"/>
        <v>15.17692087299052</v>
      </c>
      <c r="J19" s="3">
        <f t="shared" si="7"/>
        <v>-310.51751512464404</v>
      </c>
      <c r="K19" s="3">
        <f t="shared" si="0"/>
        <v>-8.5515135559120665</v>
      </c>
      <c r="L19" s="3">
        <f t="shared" si="8"/>
        <v>-324.95751512465853</v>
      </c>
      <c r="M19" s="3">
        <f t="shared" si="1"/>
        <v>2.6807608706638639</v>
      </c>
      <c r="N19" s="3">
        <f t="shared" si="2"/>
        <v>1.0910238456464285</v>
      </c>
    </row>
    <row r="20" spans="1:14" x14ac:dyDescent="0.2">
      <c r="A20">
        <v>44</v>
      </c>
      <c r="B20">
        <v>118</v>
      </c>
      <c r="C20">
        <f t="shared" si="9"/>
        <v>1.0910238456464285</v>
      </c>
      <c r="D20">
        <f t="shared" si="10"/>
        <v>2.6807608706638639</v>
      </c>
      <c r="E20">
        <f t="shared" si="11"/>
        <v>119.04450215485645</v>
      </c>
      <c r="F20" s="1">
        <f t="shared" si="3"/>
        <v>1.0909847514997579</v>
      </c>
      <c r="G20" s="3">
        <f t="shared" si="4"/>
        <v>1.1119747945968677</v>
      </c>
      <c r="H20" s="3">
        <f t="shared" si="5"/>
        <v>2.0990043097109723</v>
      </c>
      <c r="I20" s="3">
        <f t="shared" si="6"/>
        <v>2.2037466477733809</v>
      </c>
      <c r="J20" s="3">
        <f t="shared" si="7"/>
        <v>111.2761896273623</v>
      </c>
      <c r="K20" s="3">
        <f t="shared" si="0"/>
        <v>2.089004309712891</v>
      </c>
      <c r="L20" s="3">
        <f t="shared" si="8"/>
        <v>91.916189627367203</v>
      </c>
      <c r="M20" s="3">
        <f t="shared" si="1"/>
        <v>2.6715692517011274</v>
      </c>
      <c r="N20" s="3">
        <f t="shared" si="2"/>
        <v>1.0908149452154572</v>
      </c>
    </row>
    <row r="21" spans="1:14" x14ac:dyDescent="0.2">
      <c r="A21">
        <v>99</v>
      </c>
      <c r="B21">
        <v>228</v>
      </c>
      <c r="C21">
        <f t="shared" si="9"/>
        <v>1.0908149452154572</v>
      </c>
      <c r="D21">
        <f t="shared" si="10"/>
        <v>2.6715692517011274</v>
      </c>
      <c r="E21">
        <f t="shared" si="11"/>
        <v>265.57617086362706</v>
      </c>
      <c r="F21" s="1">
        <f t="shared" si="3"/>
        <v>1411.9686167724949</v>
      </c>
      <c r="G21" s="3">
        <f t="shared" si="4"/>
        <v>1412.7202401897666</v>
      </c>
      <c r="H21" s="3">
        <f t="shared" si="5"/>
        <v>75.162341727173043</v>
      </c>
      <c r="I21" s="3">
        <f t="shared" si="6"/>
        <v>1487.3495350824771</v>
      </c>
      <c r="J21" s="3">
        <f t="shared" si="7"/>
        <v>7538.0918309982235</v>
      </c>
      <c r="K21" s="3">
        <f t="shared" si="0"/>
        <v>75.152341727254111</v>
      </c>
      <c r="L21" s="3">
        <f t="shared" si="8"/>
        <v>7440.0818309981569</v>
      </c>
      <c r="M21" s="3">
        <f t="shared" si="1"/>
        <v>1.9275610686013116</v>
      </c>
      <c r="N21" s="3">
        <f t="shared" si="2"/>
        <v>1.0832997110427318</v>
      </c>
    </row>
    <row r="22" spans="1:14" x14ac:dyDescent="0.2">
      <c r="A22">
        <v>13</v>
      </c>
      <c r="B22">
        <v>56</v>
      </c>
      <c r="C22">
        <f t="shared" si="9"/>
        <v>1.0832997110427318</v>
      </c>
      <c r="D22">
        <f t="shared" si="10"/>
        <v>1.9275610686013116</v>
      </c>
      <c r="E22">
        <f t="shared" si="11"/>
        <v>26.141593602859782</v>
      </c>
      <c r="F22" s="1">
        <f t="shared" si="3"/>
        <v>891.52443257678385</v>
      </c>
      <c r="G22" s="3">
        <f t="shared" si="4"/>
        <v>890.92736444884099</v>
      </c>
      <c r="H22" s="3">
        <f t="shared" si="5"/>
        <v>-59.706812794286179</v>
      </c>
      <c r="I22" s="3">
        <f t="shared" si="6"/>
        <v>883.77814691352751</v>
      </c>
      <c r="J22" s="3">
        <f t="shared" si="7"/>
        <v>-774.62856632563444</v>
      </c>
      <c r="K22" s="3">
        <f t="shared" si="0"/>
        <v>-59.716812794280436</v>
      </c>
      <c r="L22" s="3">
        <f t="shared" si="8"/>
        <v>-776.31856632564563</v>
      </c>
      <c r="M22" s="3">
        <f t="shared" si="1"/>
        <v>2.0051929252338763</v>
      </c>
      <c r="N22" s="3">
        <f t="shared" si="2"/>
        <v>1.08927139232216</v>
      </c>
    </row>
    <row r="23" spans="1:14" x14ac:dyDescent="0.2">
      <c r="A23">
        <v>21</v>
      </c>
      <c r="B23">
        <v>72</v>
      </c>
      <c r="C23">
        <f t="shared" si="9"/>
        <v>1.08927139232216</v>
      </c>
      <c r="D23">
        <f t="shared" si="10"/>
        <v>2.0051929252338763</v>
      </c>
      <c r="E23">
        <f t="shared" si="11"/>
        <v>43.198322822233564</v>
      </c>
      <c r="F23" s="1">
        <f t="shared" si="3"/>
        <v>829.536608252272</v>
      </c>
      <c r="G23" s="3">
        <f t="shared" si="4"/>
        <v>828.96067470871674</v>
      </c>
      <c r="H23" s="3">
        <f t="shared" si="5"/>
        <v>-57.593354355526571</v>
      </c>
      <c r="I23" s="3">
        <f t="shared" si="6"/>
        <v>817.48400383761043</v>
      </c>
      <c r="J23" s="3">
        <f t="shared" si="7"/>
        <v>-1205.2604414661573</v>
      </c>
      <c r="K23" s="3">
        <f t="shared" si="0"/>
        <v>-57.603354355532872</v>
      </c>
      <c r="L23" s="3">
        <f t="shared" si="8"/>
        <v>-1209.6704414661904</v>
      </c>
      <c r="M23" s="3">
        <f t="shared" si="1"/>
        <v>2.1261599693804953</v>
      </c>
      <c r="N23" s="3">
        <f t="shared" si="2"/>
        <v>1.0950317277577133</v>
      </c>
    </row>
    <row r="24" spans="1:14" x14ac:dyDescent="0.2">
      <c r="A24">
        <v>28</v>
      </c>
      <c r="B24">
        <v>86</v>
      </c>
      <c r="C24">
        <f t="shared" si="9"/>
        <v>1.0950317277577133</v>
      </c>
      <c r="D24">
        <f t="shared" si="10"/>
        <v>2.1261599693804953</v>
      </c>
      <c r="E24">
        <f t="shared" si="11"/>
        <v>60.627510870411584</v>
      </c>
      <c r="F24" s="1">
        <f t="shared" si="3"/>
        <v>643.76320463108232</v>
      </c>
      <c r="G24" s="3">
        <f t="shared" si="4"/>
        <v>643.25585484849069</v>
      </c>
      <c r="H24" s="3">
        <f t="shared" si="5"/>
        <v>-50.734978259163199</v>
      </c>
      <c r="I24" s="3">
        <f t="shared" si="6"/>
        <v>629.63301071851311</v>
      </c>
      <c r="J24" s="3">
        <f t="shared" si="7"/>
        <v>-1413.0193912569212</v>
      </c>
      <c r="K24" s="3">
        <f t="shared" si="0"/>
        <v>-50.744978259176833</v>
      </c>
      <c r="L24" s="3">
        <f t="shared" si="8"/>
        <v>-1420.8593912569513</v>
      </c>
      <c r="M24" s="3">
        <f t="shared" si="1"/>
        <v>2.2682459085061906</v>
      </c>
      <c r="N24" s="3">
        <f t="shared" si="2"/>
        <v>1.1001062255836309</v>
      </c>
    </row>
    <row r="25" spans="1:14" x14ac:dyDescent="0.2">
      <c r="A25">
        <v>20</v>
      </c>
      <c r="B25">
        <v>70</v>
      </c>
      <c r="C25">
        <f t="shared" si="9"/>
        <v>1.1001062255836309</v>
      </c>
      <c r="D25">
        <f t="shared" si="10"/>
        <v>2.2682459085061906</v>
      </c>
      <c r="E25">
        <f t="shared" si="11"/>
        <v>46.465024395707445</v>
      </c>
      <c r="F25" s="1">
        <f t="shared" si="3"/>
        <v>553.8950766946457</v>
      </c>
      <c r="G25" s="3">
        <f t="shared" si="4"/>
        <v>553.42447718255994</v>
      </c>
      <c r="H25" s="3">
        <f t="shared" si="5"/>
        <v>-47.059951208575512</v>
      </c>
      <c r="I25" s="3">
        <f t="shared" si="6"/>
        <v>544.52108645292924</v>
      </c>
      <c r="J25" s="3">
        <f t="shared" si="7"/>
        <v>-937.39902417164558</v>
      </c>
      <c r="K25" s="3">
        <f t="shared" si="0"/>
        <v>-47.06995120858511</v>
      </c>
      <c r="L25" s="3">
        <f t="shared" si="8"/>
        <v>-941.39902417170219</v>
      </c>
      <c r="M25" s="3">
        <f t="shared" si="1"/>
        <v>2.3623858109233606</v>
      </c>
      <c r="N25" s="3">
        <f t="shared" si="2"/>
        <v>1.1048132207044894</v>
      </c>
    </row>
    <row r="26" spans="1:14" x14ac:dyDescent="0.2">
      <c r="A26">
        <v>8</v>
      </c>
      <c r="B26">
        <v>46</v>
      </c>
      <c r="C26">
        <f t="shared" si="9"/>
        <v>1.1048132207044894</v>
      </c>
      <c r="D26">
        <f t="shared" si="10"/>
        <v>2.3623858109233606</v>
      </c>
      <c r="E26">
        <f t="shared" si="11"/>
        <v>20.003899708091375</v>
      </c>
      <c r="F26" s="1">
        <f t="shared" si="3"/>
        <v>675.79723038697171</v>
      </c>
      <c r="G26" s="3">
        <f t="shared" si="4"/>
        <v>675.27740838113345</v>
      </c>
      <c r="H26" s="3">
        <f t="shared" si="5"/>
        <v>-51.982200583825033</v>
      </c>
      <c r="I26" s="3">
        <f t="shared" si="6"/>
        <v>671.64425434026646</v>
      </c>
      <c r="J26" s="3">
        <f t="shared" si="7"/>
        <v>-415.29760467052483</v>
      </c>
      <c r="K26" s="3">
        <f t="shared" si="0"/>
        <v>-51.992200583817251</v>
      </c>
      <c r="L26" s="3">
        <f t="shared" si="8"/>
        <v>-415.93760467053801</v>
      </c>
      <c r="M26" s="3">
        <f t="shared" si="1"/>
        <v>2.4039795713904146</v>
      </c>
      <c r="N26" s="3">
        <f t="shared" si="2"/>
        <v>1.1100124407628711</v>
      </c>
    </row>
    <row r="27" spans="1:14" x14ac:dyDescent="0.2">
      <c r="A27">
        <v>64</v>
      </c>
      <c r="B27">
        <v>158</v>
      </c>
      <c r="C27">
        <f t="shared" si="9"/>
        <v>1.1100124407628711</v>
      </c>
      <c r="D27">
        <f t="shared" si="10"/>
        <v>2.4039795713904146</v>
      </c>
      <c r="E27">
        <f t="shared" si="11"/>
        <v>154.96470500974939</v>
      </c>
      <c r="F27" s="1">
        <f t="shared" si="3"/>
        <v>9.2130156778404224</v>
      </c>
      <c r="G27" s="3">
        <f t="shared" si="4"/>
        <v>9.1524097780352935</v>
      </c>
      <c r="H27" s="3">
        <f t="shared" si="5"/>
        <v>-6.0605899805128871</v>
      </c>
      <c r="I27" s="3">
        <f t="shared" si="6"/>
        <v>5.7374380903197135</v>
      </c>
      <c r="J27" s="3">
        <f t="shared" si="7"/>
        <v>-347.55775875207087</v>
      </c>
      <c r="K27" s="3">
        <f t="shared" si="0"/>
        <v>-6.0705899805012109</v>
      </c>
      <c r="L27" s="3">
        <f t="shared" si="8"/>
        <v>-388.5177587520775</v>
      </c>
      <c r="M27" s="3">
        <f t="shared" si="1"/>
        <v>2.4428313472656225</v>
      </c>
      <c r="N27" s="3">
        <f t="shared" si="2"/>
        <v>1.1106194997609211</v>
      </c>
    </row>
    <row r="28" spans="1:14" x14ac:dyDescent="0.2">
      <c r="A28">
        <v>99</v>
      </c>
      <c r="B28">
        <v>228</v>
      </c>
      <c r="C28">
        <f t="shared" si="9"/>
        <v>1.1106194997609211</v>
      </c>
      <c r="D28">
        <f t="shared" si="10"/>
        <v>2.4428313472656225</v>
      </c>
      <c r="E28">
        <f t="shared" si="11"/>
        <v>242.95092287905754</v>
      </c>
      <c r="F28" s="1">
        <f t="shared" si="3"/>
        <v>223.53009493552631</v>
      </c>
      <c r="G28" s="3">
        <f t="shared" si="4"/>
        <v>223.82921339310718</v>
      </c>
      <c r="H28" s="3">
        <f t="shared" si="5"/>
        <v>29.911845758087452</v>
      </c>
      <c r="I28" s="3">
        <f t="shared" si="6"/>
        <v>254.11302223605963</v>
      </c>
      <c r="J28" s="3">
        <f t="shared" si="7"/>
        <v>3058.2927300533329</v>
      </c>
      <c r="K28" s="3">
        <f t="shared" si="0"/>
        <v>29.901845758115087</v>
      </c>
      <c r="L28" s="3">
        <f t="shared" si="8"/>
        <v>2960.2827300533936</v>
      </c>
      <c r="M28" s="3">
        <f t="shared" si="1"/>
        <v>2.1468030742602831</v>
      </c>
      <c r="N28" s="3">
        <f t="shared" si="2"/>
        <v>1.1076293151851095</v>
      </c>
    </row>
    <row r="29" spans="1:14" x14ac:dyDescent="0.2">
      <c r="A29">
        <v>70</v>
      </c>
      <c r="B29">
        <v>170</v>
      </c>
      <c r="C29">
        <f t="shared" si="9"/>
        <v>1.1076293151851095</v>
      </c>
      <c r="D29">
        <f t="shared" si="10"/>
        <v>2.1468030742602831</v>
      </c>
      <c r="E29">
        <f t="shared" si="11"/>
        <v>151.38384451340491</v>
      </c>
      <c r="F29" s="1">
        <f t="shared" si="3"/>
        <v>346.56124510108447</v>
      </c>
      <c r="G29" s="3">
        <f t="shared" si="4"/>
        <v>346.18902199135294</v>
      </c>
      <c r="H29" s="3">
        <f t="shared" si="5"/>
        <v>-37.222310973152162</v>
      </c>
      <c r="I29" s="3">
        <f t="shared" si="6"/>
        <v>320.98862741985175</v>
      </c>
      <c r="J29" s="3">
        <f t="shared" si="7"/>
        <v>-2557.2617681232714</v>
      </c>
      <c r="K29" s="3">
        <f t="shared" si="0"/>
        <v>-37.232310973190181</v>
      </c>
      <c r="L29" s="3">
        <f t="shared" si="8"/>
        <v>-2606.2617681233128</v>
      </c>
      <c r="M29" s="3">
        <f t="shared" si="1"/>
        <v>2.4074292510726143</v>
      </c>
      <c r="N29" s="3">
        <f t="shared" si="2"/>
        <v>1.1113525462824285</v>
      </c>
    </row>
    <row r="30" spans="1:14" x14ac:dyDescent="0.2">
      <c r="A30">
        <v>27</v>
      </c>
      <c r="B30">
        <v>84</v>
      </c>
      <c r="C30">
        <f t="shared" si="9"/>
        <v>1.1113525462824285</v>
      </c>
      <c r="D30">
        <f t="shared" si="10"/>
        <v>2.4074292510726143</v>
      </c>
      <c r="E30">
        <f t="shared" si="11"/>
        <v>66.111942325243021</v>
      </c>
      <c r="F30" s="1">
        <f t="shared" si="3"/>
        <v>319.98260737543205</v>
      </c>
      <c r="G30" s="3">
        <f t="shared" si="4"/>
        <v>319.62494622193725</v>
      </c>
      <c r="H30" s="3">
        <f t="shared" si="5"/>
        <v>-35.766115349480287</v>
      </c>
      <c r="I30" s="3">
        <f t="shared" si="6"/>
        <v>310.39595623106345</v>
      </c>
      <c r="J30" s="3">
        <f t="shared" si="7"/>
        <v>-958.66511443686022</v>
      </c>
      <c r="K30" s="3">
        <f t="shared" si="0"/>
        <v>-35.776115349513958</v>
      </c>
      <c r="L30" s="3">
        <f t="shared" si="8"/>
        <v>-965.9551144368769</v>
      </c>
      <c r="M30" s="3">
        <f t="shared" si="1"/>
        <v>2.5040247625163019</v>
      </c>
      <c r="N30" s="3">
        <f t="shared" si="2"/>
        <v>1.1149301578173798</v>
      </c>
    </row>
    <row r="31" spans="1:14" x14ac:dyDescent="0.2">
      <c r="A31">
        <v>17</v>
      </c>
      <c r="B31">
        <v>64</v>
      </c>
      <c r="C31">
        <f t="shared" si="9"/>
        <v>1.1149301578173798</v>
      </c>
      <c r="D31">
        <f t="shared" si="10"/>
        <v>2.5040247625163019</v>
      </c>
      <c r="E31">
        <f t="shared" si="11"/>
        <v>43.683351120594509</v>
      </c>
      <c r="F31" s="1">
        <f t="shared" si="3"/>
        <v>412.76622168904839</v>
      </c>
      <c r="G31" s="3">
        <f t="shared" si="4"/>
        <v>412.35998871146006</v>
      </c>
      <c r="H31" s="3">
        <f t="shared" si="5"/>
        <v>-40.623297758833132</v>
      </c>
      <c r="I31" s="3">
        <f t="shared" si="6"/>
        <v>405.88746107005045</v>
      </c>
      <c r="J31" s="3">
        <f t="shared" si="7"/>
        <v>-687.87606189979442</v>
      </c>
      <c r="K31" s="3">
        <f t="shared" si="0"/>
        <v>-40.633297758810983</v>
      </c>
      <c r="L31" s="3">
        <f t="shared" si="8"/>
        <v>-690.76606189978668</v>
      </c>
      <c r="M31" s="3">
        <f t="shared" si="1"/>
        <v>2.5731013687062805</v>
      </c>
      <c r="N31" s="3">
        <f t="shared" si="2"/>
        <v>1.118993487593261</v>
      </c>
    </row>
    <row r="32" spans="1:14" x14ac:dyDescent="0.2">
      <c r="A32">
        <v>8</v>
      </c>
      <c r="B32">
        <v>46</v>
      </c>
      <c r="C32">
        <f t="shared" si="9"/>
        <v>1.118993487593261</v>
      </c>
      <c r="D32">
        <f t="shared" si="10"/>
        <v>2.5731013687062805</v>
      </c>
      <c r="E32">
        <f t="shared" si="11"/>
        <v>21.703804437243505</v>
      </c>
      <c r="F32" s="1">
        <f t="shared" si="3"/>
        <v>590.30511882370843</v>
      </c>
      <c r="G32" s="3">
        <f t="shared" si="4"/>
        <v>589.8192949124533</v>
      </c>
      <c r="H32" s="3">
        <f t="shared" si="5"/>
        <v>-48.582391125512459</v>
      </c>
      <c r="I32" s="3">
        <f t="shared" si="6"/>
        <v>586.42412753366739</v>
      </c>
      <c r="J32" s="3">
        <f t="shared" si="7"/>
        <v>-388.09912900410382</v>
      </c>
      <c r="K32" s="3">
        <f t="shared" si="0"/>
        <v>-48.592391125512989</v>
      </c>
      <c r="L32" s="3">
        <f t="shared" si="8"/>
        <v>-388.73912900410392</v>
      </c>
      <c r="M32" s="3">
        <f t="shared" si="1"/>
        <v>2.611975281606691</v>
      </c>
      <c r="N32" s="3">
        <f t="shared" si="2"/>
        <v>1.1238527267058123</v>
      </c>
    </row>
    <row r="33" spans="3:12" x14ac:dyDescent="0.2">
      <c r="E33" t="s">
        <v>2</v>
      </c>
      <c r="F33" s="1">
        <f>SQRT(SUM(F4:F32))</f>
        <v>104.74921026693299</v>
      </c>
      <c r="K33" s="3">
        <f>SQRT(SUMSQ(K4:K32))</f>
        <v>209.49842053386598</v>
      </c>
      <c r="L33" s="3">
        <f>SQRT(SUMSQ(L4:L32))</f>
        <v>10613.287388969877</v>
      </c>
    </row>
    <row r="36" spans="3:12" x14ac:dyDescent="0.2">
      <c r="C36" t="s">
        <v>20</v>
      </c>
    </row>
    <row r="37" spans="3:12" x14ac:dyDescent="0.2">
      <c r="C37" t="s">
        <v>2</v>
      </c>
    </row>
    <row r="38" spans="3:12" x14ac:dyDescent="0.2">
      <c r="C38">
        <v>150.75521153771854</v>
      </c>
    </row>
    <row r="39" spans="3:12" x14ac:dyDescent="0.2">
      <c r="C39">
        <v>150.75521153771854</v>
      </c>
    </row>
    <row r="40" spans="3:12" x14ac:dyDescent="0.2">
      <c r="C40">
        <v>150.75521153771854</v>
      </c>
    </row>
    <row r="41" spans="3:12" x14ac:dyDescent="0.2">
      <c r="C41">
        <v>150.75521153771854</v>
      </c>
    </row>
    <row r="42" spans="3:12" x14ac:dyDescent="0.2">
      <c r="C42">
        <v>150.75521153771854</v>
      </c>
    </row>
    <row r="43" spans="3:12" x14ac:dyDescent="0.2">
      <c r="C43">
        <v>150.75521153771854</v>
      </c>
    </row>
    <row r="44" spans="3:12" x14ac:dyDescent="0.2">
      <c r="C44">
        <v>150.75521153771854</v>
      </c>
    </row>
    <row r="45" spans="3:12" x14ac:dyDescent="0.2">
      <c r="C45">
        <v>150.75521153771854</v>
      </c>
    </row>
    <row r="46" spans="3:12" x14ac:dyDescent="0.2">
      <c r="C46">
        <v>150.75521153771854</v>
      </c>
    </row>
    <row r="47" spans="3:12" x14ac:dyDescent="0.2">
      <c r="C47">
        <v>150.75521153771854</v>
      </c>
    </row>
    <row r="48" spans="3:12" x14ac:dyDescent="0.2">
      <c r="C48">
        <v>150.75521153771854</v>
      </c>
    </row>
    <row r="49" spans="3:3" x14ac:dyDescent="0.2">
      <c r="C49">
        <v>150.75521153771854</v>
      </c>
    </row>
    <row r="50" spans="3:3" x14ac:dyDescent="0.2">
      <c r="C50">
        <v>150.75521153771854</v>
      </c>
    </row>
    <row r="51" spans="3:3" x14ac:dyDescent="0.2">
      <c r="C51">
        <v>150.75521153771854</v>
      </c>
    </row>
    <row r="52" spans="3:3" x14ac:dyDescent="0.2">
      <c r="C52">
        <v>150.75521153771854</v>
      </c>
    </row>
    <row r="53" spans="3:3" x14ac:dyDescent="0.2">
      <c r="C53">
        <v>150.75521153771854</v>
      </c>
    </row>
    <row r="54" spans="3:3" x14ac:dyDescent="0.2">
      <c r="C54">
        <v>150.75521153771854</v>
      </c>
    </row>
    <row r="55" spans="3:3" x14ac:dyDescent="0.2">
      <c r="C55">
        <v>150.75521153771854</v>
      </c>
    </row>
    <row r="56" spans="3:3" x14ac:dyDescent="0.2">
      <c r="C56">
        <v>150.75521153771854</v>
      </c>
    </row>
    <row r="57" spans="3:3" x14ac:dyDescent="0.2">
      <c r="C57">
        <v>150.75521153771854</v>
      </c>
    </row>
    <row r="58" spans="3:3" x14ac:dyDescent="0.2">
      <c r="C58">
        <v>150.75521153771854</v>
      </c>
    </row>
    <row r="59" spans="3:3" x14ac:dyDescent="0.2">
      <c r="C59">
        <v>150.75521153771854</v>
      </c>
    </row>
    <row r="60" spans="3:3" x14ac:dyDescent="0.2">
      <c r="C60">
        <v>150.75521153771854</v>
      </c>
    </row>
    <row r="61" spans="3:3" x14ac:dyDescent="0.2">
      <c r="C61">
        <v>150.75521153771854</v>
      </c>
    </row>
    <row r="62" spans="3:3" x14ac:dyDescent="0.2">
      <c r="C62">
        <v>150.75521153771854</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basic.somesteps">
                <anchor moveWithCells="1">
                  <from>
                    <xdr:col>0</xdr:col>
                    <xdr:colOff>0</xdr:colOff>
                    <xdr:row>1</xdr:row>
                    <xdr:rowOff>12700</xdr:rowOff>
                  </from>
                  <to>
                    <xdr:col>0</xdr:col>
                    <xdr:colOff>508000</xdr:colOff>
                    <xdr:row>1</xdr:row>
                    <xdr:rowOff>215900</xdr:rowOff>
                  </to>
                </anchor>
              </controlPr>
            </control>
          </mc:Choice>
          <mc:Fallback/>
        </mc:AlternateContent>
        <mc:AlternateContent xmlns:mc="http://schemas.openxmlformats.org/markup-compatibility/2006">
          <mc:Choice Requires="x14">
            <control shapeId="16386" r:id="rId5" name="Button 2">
              <controlPr defaultSize="0" print="0" autoFill="0" autoPict="0" macro="[0]!basic.reset">
                <anchor moveWithCells="1">
                  <from>
                    <xdr:col>0</xdr:col>
                    <xdr:colOff>0</xdr:colOff>
                    <xdr:row>0</xdr:row>
                    <xdr:rowOff>25400</xdr:rowOff>
                  </from>
                  <to>
                    <xdr:col>0</xdr:col>
                    <xdr:colOff>508000</xdr:colOff>
                    <xdr:row>1</xdr:row>
                    <xdr:rowOff>0</xdr:rowOff>
                  </to>
                </anchor>
              </controlPr>
            </control>
          </mc:Choice>
          <mc:Fallback/>
        </mc:AlternateContent>
      </controls>
    </mc:Choice>
    <mc:Fallback/>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omentum" enableFormatConditionsCalculation="0"/>
  <dimension ref="A1:M33"/>
  <sheetViews>
    <sheetView zoomScale="120" zoomScaleNormal="130" workbookViewId="0">
      <pane xSplit="3" ySplit="3" topLeftCell="D4" activePane="bottomRight" state="frozen"/>
      <selection pane="topRight" activeCell="D1" sqref="D1"/>
      <selection pane="bottomLeft" activeCell="A4" sqref="A4"/>
      <selection pane="bottomRight" activeCell="F4" sqref="F4"/>
    </sheetView>
  </sheetViews>
  <sheetFormatPr baseColWidth="10" defaultColWidth="8.83203125" defaultRowHeight="15" x14ac:dyDescent="0.2"/>
  <cols>
    <col min="3" max="3" width="8.83203125" style="5" customWidth="1"/>
    <col min="4" max="4" width="10.83203125" style="5" bestFit="1" customWidth="1"/>
    <col min="5" max="5" width="9.1640625" style="5" bestFit="1" customWidth="1"/>
    <col min="6" max="6" width="10.83203125" style="7" bestFit="1" customWidth="1"/>
    <col min="7" max="7" width="10.1640625" style="7" bestFit="1" customWidth="1"/>
    <col min="8" max="8" width="8.33203125" bestFit="1" customWidth="1"/>
    <col min="9" max="9" width="6.33203125" bestFit="1" customWidth="1"/>
    <col min="10" max="11" width="6.6640625" customWidth="1"/>
  </cols>
  <sheetData>
    <row r="1" spans="1:13" x14ac:dyDescent="0.2">
      <c r="B1" t="s">
        <v>21</v>
      </c>
      <c r="C1" s="5">
        <v>1.2610777567972657</v>
      </c>
      <c r="D1" s="5" t="s">
        <v>14</v>
      </c>
      <c r="I1" t="s">
        <v>24</v>
      </c>
      <c r="J1">
        <v>0.9</v>
      </c>
      <c r="K1">
        <f>1-J1</f>
        <v>9.9999999999999978E-2</v>
      </c>
    </row>
    <row r="2" spans="1:13" x14ac:dyDescent="0.2">
      <c r="B2" t="s">
        <v>22</v>
      </c>
      <c r="C2" s="5">
        <v>2.3580347909544339</v>
      </c>
      <c r="D2">
        <v>1E-4</v>
      </c>
      <c r="F2" s="9"/>
      <c r="G2" s="9"/>
    </row>
    <row r="3" spans="1:13" s="2" customFormat="1" x14ac:dyDescent="0.2">
      <c r="A3" s="2" t="s">
        <v>15</v>
      </c>
      <c r="B3" s="2" t="s">
        <v>16</v>
      </c>
      <c r="C3" s="6" t="s">
        <v>21</v>
      </c>
      <c r="D3" s="6" t="s">
        <v>22</v>
      </c>
      <c r="E3" s="6" t="s">
        <v>18</v>
      </c>
      <c r="F3" s="8" t="s">
        <v>6</v>
      </c>
      <c r="G3" s="8" t="s">
        <v>9</v>
      </c>
      <c r="H3" s="2" t="s">
        <v>13</v>
      </c>
      <c r="I3" s="2" t="s">
        <v>12</v>
      </c>
      <c r="J3">
        <f>J33</f>
        <v>-19.279531290451075</v>
      </c>
      <c r="K3">
        <f>K33</f>
        <v>162.8396203477341</v>
      </c>
      <c r="L3" s="4"/>
      <c r="M3" s="4"/>
    </row>
    <row r="4" spans="1:13" x14ac:dyDescent="0.2">
      <c r="A4">
        <v>14</v>
      </c>
      <c r="B4">
        <v>58</v>
      </c>
      <c r="C4" s="5">
        <f>C1</f>
        <v>1.2610777567972657</v>
      </c>
      <c r="D4" s="5">
        <f>C2</f>
        <v>2.3580347909544339</v>
      </c>
      <c r="E4" s="5">
        <f>C4+D4*A4</f>
        <v>34.273564830159337</v>
      </c>
      <c r="F4" s="7">
        <f t="shared" ref="F4:F32" si="0">2*(D4*A4+C4-B4)</f>
        <v>-47.452870339681326</v>
      </c>
      <c r="G4" s="7">
        <f t="shared" ref="G4:G32" si="1">F4*A4</f>
        <v>-664.34018475553853</v>
      </c>
      <c r="H4" s="3">
        <f>C4-J4*$D$2</f>
        <v>1.2632874433168031</v>
      </c>
      <c r="I4" s="3">
        <f>D4-K4*$D$2</f>
        <v>2.3500226269706932</v>
      </c>
      <c r="J4">
        <f>J3*$J$1+$K$1*F4</f>
        <v>-22.0968651953741</v>
      </c>
      <c r="K4">
        <f>K3*$J$1+$K$1*G4</f>
        <v>80.12163983740686</v>
      </c>
    </row>
    <row r="5" spans="1:13" x14ac:dyDescent="0.2">
      <c r="A5">
        <v>86</v>
      </c>
      <c r="B5">
        <v>202</v>
      </c>
      <c r="C5" s="5">
        <f>H4</f>
        <v>1.2632874433168031</v>
      </c>
      <c r="D5" s="5">
        <f>I4</f>
        <v>2.3500226269706932</v>
      </c>
      <c r="E5" s="5">
        <f>C5+D5*A5</f>
        <v>203.36523336279643</v>
      </c>
      <c r="F5" s="7">
        <f t="shared" si="0"/>
        <v>2.7304667255928621</v>
      </c>
      <c r="G5" s="7">
        <f t="shared" si="1"/>
        <v>234.82013840098614</v>
      </c>
      <c r="H5" s="3">
        <f t="shared" ref="H5:H32" si="2">C5-J5*$D$2</f>
        <v>1.2652488565171309</v>
      </c>
      <c r="I5" s="3">
        <f t="shared" ref="I5:I32" si="3">D5-K5*$D$2</f>
        <v>2.3404634780013169</v>
      </c>
      <c r="J5">
        <f>J4*$J$1+$K$1*F5</f>
        <v>-19.614132003277405</v>
      </c>
      <c r="K5">
        <f t="shared" ref="J5:K20" si="4">K4*$J$1+$K$1*G5</f>
        <v>95.5914896937648</v>
      </c>
    </row>
    <row r="6" spans="1:13" x14ac:dyDescent="0.2">
      <c r="A6">
        <v>28</v>
      </c>
      <c r="B6">
        <v>86</v>
      </c>
      <c r="C6" s="5">
        <f>H5</f>
        <v>1.2652488565171309</v>
      </c>
      <c r="D6" s="5">
        <f>I5</f>
        <v>2.3404634780013169</v>
      </c>
      <c r="E6" s="5">
        <f>C6+D6*A6</f>
        <v>66.798226240554001</v>
      </c>
      <c r="F6" s="7">
        <f t="shared" si="0"/>
        <v>-38.403547518891997</v>
      </c>
      <c r="G6" s="7">
        <f t="shared" si="1"/>
        <v>-1075.299330528976</v>
      </c>
      <c r="H6" s="3">
        <f t="shared" si="2"/>
        <v>1.2673981638726148</v>
      </c>
      <c r="I6" s="3">
        <f t="shared" si="3"/>
        <v>2.3426132372341679</v>
      </c>
      <c r="J6">
        <f t="shared" si="4"/>
        <v>-21.493073554838862</v>
      </c>
      <c r="K6">
        <f t="shared" si="4"/>
        <v>-21.497592328509256</v>
      </c>
    </row>
    <row r="7" spans="1:13" x14ac:dyDescent="0.2">
      <c r="A7">
        <v>51</v>
      </c>
      <c r="B7">
        <v>132</v>
      </c>
      <c r="C7" s="5">
        <f t="shared" ref="C7:D32" si="5">H6</f>
        <v>1.2673981638726148</v>
      </c>
      <c r="D7" s="5">
        <f t="shared" si="5"/>
        <v>2.3426132372341679</v>
      </c>
      <c r="E7" s="5">
        <f t="shared" ref="E7:E32" si="6">C7+D7*A7</f>
        <v>120.74067326281518</v>
      </c>
      <c r="F7" s="7">
        <f t="shared" si="0"/>
        <v>-22.518653474369643</v>
      </c>
      <c r="G7" s="7">
        <f t="shared" si="1"/>
        <v>-1148.4513271928517</v>
      </c>
      <c r="H7" s="3">
        <f t="shared" si="2"/>
        <v>1.269557727027294</v>
      </c>
      <c r="I7" s="3">
        <f t="shared" si="3"/>
        <v>2.3560325338156622</v>
      </c>
      <c r="J7">
        <f t="shared" si="4"/>
        <v>-21.595631546791942</v>
      </c>
      <c r="K7">
        <f t="shared" si="4"/>
        <v>-134.19296581494348</v>
      </c>
    </row>
    <row r="8" spans="1:13" x14ac:dyDescent="0.2">
      <c r="A8">
        <v>28</v>
      </c>
      <c r="B8">
        <v>86</v>
      </c>
      <c r="C8" s="5">
        <f t="shared" si="5"/>
        <v>1.269557727027294</v>
      </c>
      <c r="D8" s="5">
        <f t="shared" si="5"/>
        <v>2.3560325338156622</v>
      </c>
      <c r="E8" s="5">
        <f t="shared" si="6"/>
        <v>67.238468673865839</v>
      </c>
      <c r="F8" s="7">
        <f t="shared" si="0"/>
        <v>-37.523062652268322</v>
      </c>
      <c r="G8" s="7">
        <f t="shared" si="1"/>
        <v>-1050.645754263513</v>
      </c>
      <c r="H8" s="3">
        <f t="shared" si="2"/>
        <v>1.2718765644930279</v>
      </c>
      <c r="I8" s="3">
        <f t="shared" si="3"/>
        <v>2.3786163582816422</v>
      </c>
      <c r="J8">
        <f t="shared" si="4"/>
        <v>-23.18837465733958</v>
      </c>
      <c r="K8">
        <f t="shared" si="4"/>
        <v>-225.83824465980041</v>
      </c>
    </row>
    <row r="9" spans="1:13" x14ac:dyDescent="0.2">
      <c r="A9">
        <v>29</v>
      </c>
      <c r="B9">
        <v>88</v>
      </c>
      <c r="C9" s="5">
        <f t="shared" si="5"/>
        <v>1.2718765644930279</v>
      </c>
      <c r="D9" s="5">
        <f t="shared" si="5"/>
        <v>2.3786163582816422</v>
      </c>
      <c r="E9" s="5">
        <f t="shared" si="6"/>
        <v>70.25175095466065</v>
      </c>
      <c r="F9" s="7">
        <f t="shared" si="0"/>
        <v>-35.496498090678699</v>
      </c>
      <c r="G9" s="7">
        <f t="shared" si="1"/>
        <v>-1029.3984446296822</v>
      </c>
      <c r="H9" s="3">
        <f t="shared" si="2"/>
        <v>1.2743184831930952</v>
      </c>
      <c r="I9" s="3">
        <f t="shared" si="3"/>
        <v>2.4092357847473211</v>
      </c>
      <c r="J9">
        <f t="shared" si="4"/>
        <v>-24.419187000673492</v>
      </c>
      <c r="K9">
        <f t="shared" si="4"/>
        <v>-306.19426465678856</v>
      </c>
    </row>
    <row r="10" spans="1:13" x14ac:dyDescent="0.2">
      <c r="A10">
        <v>72</v>
      </c>
      <c r="B10">
        <v>174</v>
      </c>
      <c r="C10" s="5">
        <f t="shared" si="5"/>
        <v>1.2743184831930952</v>
      </c>
      <c r="D10" s="5">
        <f t="shared" si="5"/>
        <v>2.4092357847473211</v>
      </c>
      <c r="E10" s="5">
        <f t="shared" si="6"/>
        <v>174.73929498500021</v>
      </c>
      <c r="F10" s="7">
        <f t="shared" si="0"/>
        <v>1.4785899700004279</v>
      </c>
      <c r="G10" s="7">
        <f t="shared" si="1"/>
        <v>106.45847784003081</v>
      </c>
      <c r="H10" s="3">
        <f t="shared" si="2"/>
        <v>1.2765014241234558</v>
      </c>
      <c r="I10" s="3">
        <f t="shared" si="3"/>
        <v>2.4357286837880316</v>
      </c>
      <c r="J10">
        <f t="shared" si="4"/>
        <v>-21.829409303606102</v>
      </c>
      <c r="K10">
        <f t="shared" si="4"/>
        <v>-264.92899040710665</v>
      </c>
    </row>
    <row r="11" spans="1:13" x14ac:dyDescent="0.2">
      <c r="A11">
        <v>62</v>
      </c>
      <c r="B11">
        <v>154</v>
      </c>
      <c r="C11" s="5">
        <f t="shared" si="5"/>
        <v>1.2765014241234558</v>
      </c>
      <c r="D11" s="5">
        <f t="shared" si="5"/>
        <v>2.4357286837880316</v>
      </c>
      <c r="E11" s="5">
        <f t="shared" si="6"/>
        <v>152.29167981898144</v>
      </c>
      <c r="F11" s="7">
        <f t="shared" si="0"/>
        <v>-3.4166403620371284</v>
      </c>
      <c r="G11" s="7">
        <f t="shared" si="1"/>
        <v>-211.83170244630196</v>
      </c>
      <c r="H11" s="3">
        <f t="shared" si="2"/>
        <v>1.2785002373644008</v>
      </c>
      <c r="I11" s="3">
        <f t="shared" si="3"/>
        <v>2.4616906099491342</v>
      </c>
      <c r="J11">
        <f t="shared" si="4"/>
        <v>-19.988132409449207</v>
      </c>
      <c r="K11">
        <f t="shared" si="4"/>
        <v>-259.61926161102622</v>
      </c>
    </row>
    <row r="12" spans="1:13" x14ac:dyDescent="0.2">
      <c r="A12">
        <v>84</v>
      </c>
      <c r="B12">
        <v>198</v>
      </c>
      <c r="C12" s="5">
        <f t="shared" si="5"/>
        <v>1.2785002373644008</v>
      </c>
      <c r="D12" s="5">
        <f t="shared" si="5"/>
        <v>2.4616906099491342</v>
      </c>
      <c r="E12" s="5">
        <f t="shared" si="6"/>
        <v>208.06051147309168</v>
      </c>
      <c r="F12" s="7">
        <f t="shared" si="0"/>
        <v>20.121022946183359</v>
      </c>
      <c r="G12" s="7">
        <f t="shared" si="1"/>
        <v>1690.1659274794022</v>
      </c>
      <c r="H12" s="3">
        <f t="shared" si="2"/>
        <v>1.2800979590517894</v>
      </c>
      <c r="I12" s="3">
        <f t="shared" si="3"/>
        <v>2.4681546842193325</v>
      </c>
      <c r="J12">
        <f t="shared" si="4"/>
        <v>-15.977216873885952</v>
      </c>
      <c r="K12">
        <f t="shared" si="4"/>
        <v>-64.640742701983442</v>
      </c>
    </row>
    <row r="13" spans="1:13" x14ac:dyDescent="0.2">
      <c r="A13">
        <v>15</v>
      </c>
      <c r="B13">
        <v>60</v>
      </c>
      <c r="C13" s="5">
        <f t="shared" si="5"/>
        <v>1.2800979590517894</v>
      </c>
      <c r="D13" s="5">
        <f t="shared" si="5"/>
        <v>2.4681546842193325</v>
      </c>
      <c r="E13" s="5">
        <f t="shared" si="6"/>
        <v>38.302418222341771</v>
      </c>
      <c r="F13" s="7">
        <f t="shared" si="0"/>
        <v>-43.395163555316458</v>
      </c>
      <c r="G13" s="7">
        <f t="shared" si="1"/>
        <v>-650.92745332974687</v>
      </c>
      <c r="H13" s="3">
        <f t="shared" si="2"/>
        <v>1.2819698602059924</v>
      </c>
      <c r="I13" s="3">
        <f t="shared" si="3"/>
        <v>2.4804816255958086</v>
      </c>
      <c r="J13">
        <f t="shared" si="4"/>
        <v>-18.719011542029001</v>
      </c>
      <c r="K13">
        <f t="shared" si="4"/>
        <v>-123.26941376475978</v>
      </c>
    </row>
    <row r="14" spans="1:13" x14ac:dyDescent="0.2">
      <c r="A14">
        <v>42</v>
      </c>
      <c r="B14">
        <v>114</v>
      </c>
      <c r="C14" s="5">
        <f t="shared" si="5"/>
        <v>1.2819698602059924</v>
      </c>
      <c r="D14" s="5">
        <f t="shared" si="5"/>
        <v>2.4804816255958086</v>
      </c>
      <c r="E14" s="5">
        <f t="shared" si="6"/>
        <v>105.46219813522995</v>
      </c>
      <c r="F14" s="7">
        <f t="shared" si="0"/>
        <v>-17.075603729540092</v>
      </c>
      <c r="G14" s="7">
        <f t="shared" si="1"/>
        <v>-717.17535664068384</v>
      </c>
      <c r="H14" s="3">
        <f t="shared" si="2"/>
        <v>1.2838253272820703</v>
      </c>
      <c r="I14" s="3">
        <f t="shared" si="3"/>
        <v>2.4987476264010438</v>
      </c>
      <c r="J14">
        <f t="shared" si="4"/>
        <v>-18.554670760780112</v>
      </c>
      <c r="K14">
        <f t="shared" si="4"/>
        <v>-182.66000805235217</v>
      </c>
    </row>
    <row r="15" spans="1:13" x14ac:dyDescent="0.2">
      <c r="A15">
        <v>62</v>
      </c>
      <c r="B15">
        <v>154</v>
      </c>
      <c r="C15" s="5">
        <f t="shared" si="5"/>
        <v>1.2838253272820703</v>
      </c>
      <c r="D15" s="5">
        <f>I14</f>
        <v>2.4987476264010438</v>
      </c>
      <c r="E15" s="5">
        <f t="shared" si="6"/>
        <v>156.20617816414679</v>
      </c>
      <c r="F15" s="7">
        <f t="shared" si="0"/>
        <v>4.4123563282935834</v>
      </c>
      <c r="G15" s="7">
        <f t="shared" si="1"/>
        <v>273.56609235420217</v>
      </c>
      <c r="H15" s="3">
        <f t="shared" si="2"/>
        <v>1.2854511240872577</v>
      </c>
      <c r="I15" s="3">
        <f t="shared" si="3"/>
        <v>2.5124513662022134</v>
      </c>
      <c r="J15">
        <f t="shared" si="4"/>
        <v>-16.257968051872744</v>
      </c>
      <c r="K15">
        <f t="shared" si="4"/>
        <v>-137.03739801169672</v>
      </c>
    </row>
    <row r="16" spans="1:13" x14ac:dyDescent="0.2">
      <c r="A16">
        <v>47</v>
      </c>
      <c r="B16">
        <v>124</v>
      </c>
      <c r="C16" s="5">
        <f t="shared" si="5"/>
        <v>1.2854511240872577</v>
      </c>
      <c r="D16" s="5">
        <f t="shared" si="5"/>
        <v>2.5124513662022134</v>
      </c>
      <c r="E16" s="5">
        <f t="shared" si="6"/>
        <v>119.3706653355913</v>
      </c>
      <c r="F16" s="7">
        <f t="shared" si="0"/>
        <v>-9.2586693288174047</v>
      </c>
      <c r="G16" s="7">
        <f t="shared" si="1"/>
        <v>-435.15745845441802</v>
      </c>
      <c r="H16" s="3">
        <f t="shared" si="2"/>
        <v>1.2870069279052143</v>
      </c>
      <c r="I16" s="3">
        <f t="shared" si="3"/>
        <v>2.5291363066078105</v>
      </c>
      <c r="J16">
        <f t="shared" si="4"/>
        <v>-15.558038179567211</v>
      </c>
      <c r="K16">
        <f t="shared" si="4"/>
        <v>-166.84940405596885</v>
      </c>
    </row>
    <row r="17" spans="1:11" x14ac:dyDescent="0.2">
      <c r="A17">
        <v>35</v>
      </c>
      <c r="B17">
        <v>100</v>
      </c>
      <c r="C17" s="5">
        <f t="shared" si="5"/>
        <v>1.2870069279052143</v>
      </c>
      <c r="D17" s="5">
        <f t="shared" si="5"/>
        <v>2.5291363066078105</v>
      </c>
      <c r="E17" s="5">
        <f t="shared" si="6"/>
        <v>89.806777659178579</v>
      </c>
      <c r="F17" s="7">
        <f t="shared" si="0"/>
        <v>-20.386444681642843</v>
      </c>
      <c r="G17" s="7">
        <f t="shared" si="1"/>
        <v>-713.52556385749949</v>
      </c>
      <c r="H17" s="3">
        <f t="shared" si="2"/>
        <v>1.2886110157881918</v>
      </c>
      <c r="I17" s="3">
        <f t="shared" si="3"/>
        <v>2.5512880086114227</v>
      </c>
      <c r="J17">
        <f t="shared" si="4"/>
        <v>-16.040878829774776</v>
      </c>
      <c r="K17">
        <f t="shared" si="4"/>
        <v>-221.51702003612189</v>
      </c>
    </row>
    <row r="18" spans="1:11" x14ac:dyDescent="0.2">
      <c r="A18">
        <v>9</v>
      </c>
      <c r="B18">
        <v>48</v>
      </c>
      <c r="C18" s="5">
        <f t="shared" si="5"/>
        <v>1.2886110157881918</v>
      </c>
      <c r="D18" s="5">
        <f t="shared" si="5"/>
        <v>2.5512880086114227</v>
      </c>
      <c r="E18" s="5">
        <f t="shared" si="6"/>
        <v>24.250203093290995</v>
      </c>
      <c r="F18" s="7">
        <f t="shared" si="0"/>
        <v>-47.499593813418009</v>
      </c>
      <c r="G18" s="7">
        <f t="shared" si="1"/>
        <v>-427.49634432076209</v>
      </c>
      <c r="H18" s="3">
        <f t="shared" si="2"/>
        <v>1.2905296908210058</v>
      </c>
      <c r="I18" s="3">
        <f t="shared" si="3"/>
        <v>2.5754995038578814</v>
      </c>
      <c r="J18">
        <f t="shared" si="4"/>
        <v>-19.186750328139098</v>
      </c>
      <c r="K18">
        <f t="shared" si="4"/>
        <v>-242.11495246458591</v>
      </c>
    </row>
    <row r="19" spans="1:11" x14ac:dyDescent="0.2">
      <c r="A19">
        <v>38</v>
      </c>
      <c r="B19">
        <v>106</v>
      </c>
      <c r="C19" s="5">
        <f t="shared" si="5"/>
        <v>1.2905296908210058</v>
      </c>
      <c r="D19" s="5">
        <f t="shared" si="5"/>
        <v>2.5754995038578814</v>
      </c>
      <c r="E19" s="5">
        <f t="shared" si="6"/>
        <v>99.159510837420498</v>
      </c>
      <c r="F19" s="7">
        <f t="shared" si="0"/>
        <v>-13.680978325159003</v>
      </c>
      <c r="G19" s="7">
        <f t="shared" si="1"/>
        <v>-519.87717635604213</v>
      </c>
      <c r="H19" s="3">
        <f t="shared" si="2"/>
        <v>1.2923933081337899</v>
      </c>
      <c r="I19" s="3">
        <f t="shared" si="3"/>
        <v>2.6024886213432548</v>
      </c>
      <c r="J19">
        <f t="shared" si="4"/>
        <v>-18.63617312784109</v>
      </c>
      <c r="K19">
        <f t="shared" si="4"/>
        <v>-269.89117485373151</v>
      </c>
    </row>
    <row r="20" spans="1:11" x14ac:dyDescent="0.2">
      <c r="A20">
        <v>44</v>
      </c>
      <c r="B20">
        <v>118</v>
      </c>
      <c r="C20" s="5">
        <f t="shared" si="5"/>
        <v>1.2923933081337899</v>
      </c>
      <c r="D20" s="5">
        <f t="shared" si="5"/>
        <v>2.6024886213432548</v>
      </c>
      <c r="E20" s="5">
        <f t="shared" si="6"/>
        <v>115.80189264723701</v>
      </c>
      <c r="F20" s="7">
        <f t="shared" si="0"/>
        <v>-4.3962147055259777</v>
      </c>
      <c r="G20" s="7">
        <f t="shared" si="1"/>
        <v>-193.43344704314302</v>
      </c>
      <c r="H20" s="3">
        <f t="shared" si="2"/>
        <v>1.294114525862351</v>
      </c>
      <c r="I20" s="3">
        <f t="shared" si="3"/>
        <v>2.6287131615505221</v>
      </c>
      <c r="J20">
        <f t="shared" si="4"/>
        <v>-17.212177285609581</v>
      </c>
      <c r="K20">
        <f t="shared" si="4"/>
        <v>-262.24540207267268</v>
      </c>
    </row>
    <row r="21" spans="1:11" x14ac:dyDescent="0.2">
      <c r="A21">
        <v>99</v>
      </c>
      <c r="B21">
        <v>228</v>
      </c>
      <c r="C21" s="5">
        <f t="shared" si="5"/>
        <v>1.294114525862351</v>
      </c>
      <c r="D21" s="5">
        <f t="shared" si="5"/>
        <v>2.6287131615505221</v>
      </c>
      <c r="E21" s="5">
        <f t="shared" si="6"/>
        <v>261.53671751936406</v>
      </c>
      <c r="F21" s="7">
        <f t="shared" si="0"/>
        <v>67.073435038728121</v>
      </c>
      <c r="G21" s="7">
        <f t="shared" si="1"/>
        <v>6640.2700688340838</v>
      </c>
      <c r="H21" s="3">
        <f t="shared" si="2"/>
        <v>1.2949928874676686</v>
      </c>
      <c r="I21" s="3">
        <f t="shared" si="3"/>
        <v>2.5859125470487219</v>
      </c>
      <c r="J21">
        <f t="shared" ref="J21:K32" si="7">J20*$J$1+$K$1*F21</f>
        <v>-8.7836160531758125</v>
      </c>
      <c r="K21">
        <f t="shared" si="7"/>
        <v>428.00614501800283</v>
      </c>
    </row>
    <row r="22" spans="1:11" x14ac:dyDescent="0.2">
      <c r="A22">
        <v>13</v>
      </c>
      <c r="B22">
        <v>56</v>
      </c>
      <c r="C22" s="5">
        <f t="shared" si="5"/>
        <v>1.2949928874676686</v>
      </c>
      <c r="D22" s="5">
        <f t="shared" si="5"/>
        <v>2.5859125470487219</v>
      </c>
      <c r="E22" s="5">
        <f t="shared" si="6"/>
        <v>34.911855999101057</v>
      </c>
      <c r="F22" s="7">
        <f t="shared" si="0"/>
        <v>-42.176288001797886</v>
      </c>
      <c r="G22" s="7">
        <f t="shared" si="1"/>
        <v>-548.29174402337253</v>
      </c>
      <c r="H22" s="3">
        <f t="shared" si="2"/>
        <v>1.2962051757924724</v>
      </c>
      <c r="I22" s="3">
        <f t="shared" si="3"/>
        <v>2.5528749114373355</v>
      </c>
      <c r="J22">
        <f t="shared" si="7"/>
        <v>-12.122883248038018</v>
      </c>
      <c r="K22">
        <f t="shared" si="7"/>
        <v>330.37635611386531</v>
      </c>
    </row>
    <row r="23" spans="1:11" x14ac:dyDescent="0.2">
      <c r="A23">
        <v>21</v>
      </c>
      <c r="B23">
        <v>72</v>
      </c>
      <c r="C23" s="5">
        <f t="shared" si="5"/>
        <v>1.2962051757924724</v>
      </c>
      <c r="D23" s="5">
        <f t="shared" si="5"/>
        <v>2.5528749114373355</v>
      </c>
      <c r="E23" s="5">
        <f t="shared" si="6"/>
        <v>54.906578315976518</v>
      </c>
      <c r="F23" s="7">
        <f t="shared" si="0"/>
        <v>-34.186843368046965</v>
      </c>
      <c r="G23" s="7">
        <f t="shared" si="1"/>
        <v>-717.92371072898629</v>
      </c>
      <c r="H23" s="3">
        <f t="shared" si="2"/>
        <v>1.2976381037184763</v>
      </c>
      <c r="I23" s="3">
        <f t="shared" si="3"/>
        <v>2.5303202764943773</v>
      </c>
      <c r="J23">
        <f t="shared" si="7"/>
        <v>-14.329279260038913</v>
      </c>
      <c r="K23">
        <f t="shared" si="7"/>
        <v>225.54634942958018</v>
      </c>
    </row>
    <row r="24" spans="1:11" x14ac:dyDescent="0.2">
      <c r="A24">
        <v>28</v>
      </c>
      <c r="B24">
        <v>86</v>
      </c>
      <c r="C24" s="5">
        <f t="shared" si="5"/>
        <v>1.2976381037184763</v>
      </c>
      <c r="D24" s="5">
        <f t="shared" si="5"/>
        <v>2.5303202764943773</v>
      </c>
      <c r="E24" s="5">
        <f t="shared" si="6"/>
        <v>72.146605845561027</v>
      </c>
      <c r="F24" s="7">
        <f t="shared" si="0"/>
        <v>-27.706788308877947</v>
      </c>
      <c r="G24" s="7">
        <f t="shared" si="1"/>
        <v>-775.79007264858251</v>
      </c>
      <c r="H24" s="3">
        <f t="shared" si="2"/>
        <v>1.2992048067349686</v>
      </c>
      <c r="I24" s="3">
        <f t="shared" si="3"/>
        <v>2.5177790057722009</v>
      </c>
      <c r="J24">
        <f t="shared" si="7"/>
        <v>-15.667030164922815</v>
      </c>
      <c r="K24">
        <f t="shared" si="7"/>
        <v>125.41270722176392</v>
      </c>
    </row>
    <row r="25" spans="1:11" x14ac:dyDescent="0.2">
      <c r="A25">
        <v>20</v>
      </c>
      <c r="B25">
        <v>70</v>
      </c>
      <c r="C25" s="5">
        <f t="shared" si="5"/>
        <v>1.2992048067349686</v>
      </c>
      <c r="D25" s="5">
        <f t="shared" si="5"/>
        <v>2.5177790057722009</v>
      </c>
      <c r="E25" s="5">
        <f t="shared" si="6"/>
        <v>51.65478492217899</v>
      </c>
      <c r="F25" s="7">
        <f t="shared" si="0"/>
        <v>-36.690430155642019</v>
      </c>
      <c r="G25" s="7">
        <f t="shared" si="1"/>
        <v>-733.80860311284039</v>
      </c>
      <c r="H25" s="3">
        <f t="shared" si="2"/>
        <v>1.3009817437513682</v>
      </c>
      <c r="I25" s="3">
        <f t="shared" si="3"/>
        <v>2.5138299481533708</v>
      </c>
      <c r="J25">
        <f t="shared" si="7"/>
        <v>-17.769370163994736</v>
      </c>
      <c r="K25">
        <f t="shared" si="7"/>
        <v>39.490576188303507</v>
      </c>
    </row>
    <row r="26" spans="1:11" x14ac:dyDescent="0.2">
      <c r="A26">
        <v>8</v>
      </c>
      <c r="B26">
        <v>46</v>
      </c>
      <c r="C26" s="5">
        <f t="shared" si="5"/>
        <v>1.3009817437513682</v>
      </c>
      <c r="D26" s="5">
        <f t="shared" si="5"/>
        <v>2.5138299481533708</v>
      </c>
      <c r="E26" s="5">
        <f t="shared" si="6"/>
        <v>21.411621328978335</v>
      </c>
      <c r="F26" s="7">
        <f t="shared" si="0"/>
        <v>-49.176757342043331</v>
      </c>
      <c r="G26" s="7">
        <f t="shared" si="1"/>
        <v>-393.41405873634665</v>
      </c>
      <c r="H26" s="3">
        <f t="shared" si="2"/>
        <v>1.3030727546395482</v>
      </c>
      <c r="I26" s="3">
        <f t="shared" si="3"/>
        <v>2.5142099368837871</v>
      </c>
      <c r="J26">
        <f t="shared" si="7"/>
        <v>-20.910108881799594</v>
      </c>
      <c r="K26">
        <f t="shared" si="7"/>
        <v>-3.7998873041615013</v>
      </c>
    </row>
    <row r="27" spans="1:11" x14ac:dyDescent="0.2">
      <c r="A27">
        <v>64</v>
      </c>
      <c r="B27">
        <v>158</v>
      </c>
      <c r="C27" s="5">
        <f t="shared" si="5"/>
        <v>1.3030727546395482</v>
      </c>
      <c r="D27" s="5">
        <f t="shared" si="5"/>
        <v>2.5142099368837871</v>
      </c>
      <c r="E27" s="5">
        <f t="shared" si="6"/>
        <v>162.21250871520192</v>
      </c>
      <c r="F27" s="7">
        <f t="shared" si="0"/>
        <v>8.425017430403841</v>
      </c>
      <c r="G27" s="7">
        <f t="shared" si="1"/>
        <v>539.20111554584582</v>
      </c>
      <c r="H27" s="3">
        <f t="shared" si="2"/>
        <v>1.3048704142646061</v>
      </c>
      <c r="I27" s="3">
        <f t="shared" si="3"/>
        <v>2.5091599155857032</v>
      </c>
      <c r="J27">
        <f t="shared" si="7"/>
        <v>-17.976596250579252</v>
      </c>
      <c r="K27">
        <f t="shared" si="7"/>
        <v>50.500212980839223</v>
      </c>
    </row>
    <row r="28" spans="1:11" x14ac:dyDescent="0.2">
      <c r="A28">
        <v>99</v>
      </c>
      <c r="B28">
        <v>228</v>
      </c>
      <c r="C28" s="5">
        <f t="shared" si="5"/>
        <v>1.3048704142646061</v>
      </c>
      <c r="D28" s="5">
        <f t="shared" si="5"/>
        <v>2.5091599155857032</v>
      </c>
      <c r="E28" s="5">
        <f t="shared" si="6"/>
        <v>249.71170205724923</v>
      </c>
      <c r="F28" s="7">
        <f t="shared" si="0"/>
        <v>43.423404114498453</v>
      </c>
      <c r="G28" s="7">
        <f t="shared" si="1"/>
        <v>4298.9170073353471</v>
      </c>
      <c r="H28" s="3">
        <f t="shared" si="2"/>
        <v>1.3060540738860134</v>
      </c>
      <c r="I28" s="3">
        <f t="shared" si="3"/>
        <v>2.4616257263440744</v>
      </c>
      <c r="J28">
        <f t="shared" si="7"/>
        <v>-11.836596214071484</v>
      </c>
      <c r="K28">
        <f t="shared" si="7"/>
        <v>475.34189241628991</v>
      </c>
    </row>
    <row r="29" spans="1:11" x14ac:dyDescent="0.2">
      <c r="A29">
        <v>70</v>
      </c>
      <c r="B29">
        <v>170</v>
      </c>
      <c r="C29" s="5">
        <f t="shared" si="5"/>
        <v>1.3060540738860134</v>
      </c>
      <c r="D29" s="5">
        <f t="shared" si="5"/>
        <v>2.4616257263440744</v>
      </c>
      <c r="E29" s="5">
        <f t="shared" si="6"/>
        <v>173.61985491797122</v>
      </c>
      <c r="F29" s="7">
        <f t="shared" si="0"/>
        <v>7.239709835942449</v>
      </c>
      <c r="G29" s="7">
        <f t="shared" si="1"/>
        <v>506.77968851597143</v>
      </c>
      <c r="H29" s="3">
        <f t="shared" si="2"/>
        <v>1.3070469704469203</v>
      </c>
      <c r="I29" s="3">
        <f t="shared" si="3"/>
        <v>2.4137771591414485</v>
      </c>
      <c r="J29">
        <f t="shared" si="7"/>
        <v>-9.9289656090700902</v>
      </c>
      <c r="K29">
        <f t="shared" si="7"/>
        <v>478.48567202625804</v>
      </c>
    </row>
    <row r="30" spans="1:11" x14ac:dyDescent="0.2">
      <c r="A30">
        <v>27</v>
      </c>
      <c r="B30">
        <v>84</v>
      </c>
      <c r="C30" s="5">
        <f t="shared" si="5"/>
        <v>1.3070469704469203</v>
      </c>
      <c r="D30" s="5">
        <f t="shared" si="5"/>
        <v>2.4137771591414485</v>
      </c>
      <c r="E30" s="5">
        <f t="shared" si="6"/>
        <v>66.479030267266026</v>
      </c>
      <c r="F30" s="7">
        <f t="shared" si="0"/>
        <v>-35.041939465467948</v>
      </c>
      <c r="G30" s="7">
        <f t="shared" si="1"/>
        <v>-946.13236556763457</v>
      </c>
      <c r="H30" s="3">
        <f t="shared" si="2"/>
        <v>1.3082909967463914</v>
      </c>
      <c r="I30" s="3">
        <f t="shared" si="3"/>
        <v>2.3801747723147617</v>
      </c>
      <c r="J30">
        <f t="shared" si="7"/>
        <v>-12.440262994709876</v>
      </c>
      <c r="K30">
        <f t="shared" si="7"/>
        <v>336.02386826686882</v>
      </c>
    </row>
    <row r="31" spans="1:11" x14ac:dyDescent="0.2">
      <c r="A31">
        <v>17</v>
      </c>
      <c r="B31">
        <v>64</v>
      </c>
      <c r="C31" s="5">
        <f t="shared" si="5"/>
        <v>1.3082909967463914</v>
      </c>
      <c r="D31" s="5">
        <f t="shared" si="5"/>
        <v>2.3801747723147617</v>
      </c>
      <c r="E31" s="5">
        <f t="shared" si="6"/>
        <v>41.771262126097341</v>
      </c>
      <c r="F31" s="7">
        <f t="shared" si="0"/>
        <v>-44.457475747805319</v>
      </c>
      <c r="G31" s="7">
        <f t="shared" si="1"/>
        <v>-755.77708771269045</v>
      </c>
      <c r="H31" s="3">
        <f t="shared" si="2"/>
        <v>1.3098551951733932</v>
      </c>
      <c r="I31" s="3">
        <f t="shared" si="3"/>
        <v>2.3574903950478703</v>
      </c>
      <c r="J31">
        <f t="shared" si="7"/>
        <v>-15.641984270019421</v>
      </c>
      <c r="K31">
        <f t="shared" si="7"/>
        <v>226.84377266891289</v>
      </c>
    </row>
    <row r="32" spans="1:11" x14ac:dyDescent="0.2">
      <c r="A32">
        <v>8</v>
      </c>
      <c r="B32">
        <v>46</v>
      </c>
      <c r="C32" s="5">
        <f t="shared" si="5"/>
        <v>1.3098551951733932</v>
      </c>
      <c r="D32" s="5">
        <f t="shared" si="5"/>
        <v>2.3574903950478703</v>
      </c>
      <c r="E32" s="5">
        <f t="shared" si="6"/>
        <v>20.169778355556357</v>
      </c>
      <c r="F32" s="7">
        <f t="shared" si="0"/>
        <v>-51.660443288887286</v>
      </c>
      <c r="G32" s="7">
        <f t="shared" si="1"/>
        <v>-413.28354631109829</v>
      </c>
      <c r="H32" s="3">
        <f t="shared" si="2"/>
        <v>1.3117795781905839</v>
      </c>
      <c r="I32" s="3">
        <f t="shared" si="3"/>
        <v>2.3412072909707793</v>
      </c>
      <c r="J32">
        <f t="shared" si="7"/>
        <v>-19.243830171906204</v>
      </c>
      <c r="K32">
        <f t="shared" si="7"/>
        <v>162.83104077091178</v>
      </c>
    </row>
    <row r="33" spans="1:13" x14ac:dyDescent="0.2">
      <c r="A33" s="7"/>
      <c r="B33" s="7"/>
      <c r="H33" s="3"/>
      <c r="J33">
        <v>-19.279531290451075</v>
      </c>
      <c r="K33">
        <v>162.8396203477341</v>
      </c>
      <c r="M33"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105" r:id="rId3" name="Button 1">
              <controlPr defaultSize="0" print="0" autoFill="0" autoPict="0" macro="[0]!momentum.reset">
                <anchor moveWithCells="1">
                  <from>
                    <xdr:col>0</xdr:col>
                    <xdr:colOff>12700</xdr:colOff>
                    <xdr:row>0</xdr:row>
                    <xdr:rowOff>12700</xdr:rowOff>
                  </from>
                  <to>
                    <xdr:col>0</xdr:col>
                    <xdr:colOff>635000</xdr:colOff>
                    <xdr:row>0</xdr:row>
                    <xdr:rowOff>177800</xdr:rowOff>
                  </to>
                </anchor>
              </controlPr>
            </control>
          </mc:Choice>
          <mc:Fallback/>
        </mc:AlternateContent>
        <mc:AlternateContent xmlns:mc="http://schemas.openxmlformats.org/markup-compatibility/2006">
          <mc:Choice Requires="x14">
            <control shapeId="47106" r:id="rId4" name="Button 2">
              <controlPr defaultSize="0" print="0" autoFill="0" autoPict="0" macro="[0]!momentum.somesteps">
                <anchor moveWithCells="1">
                  <from>
                    <xdr:col>0</xdr:col>
                    <xdr:colOff>12700</xdr:colOff>
                    <xdr:row>1</xdr:row>
                    <xdr:rowOff>12700</xdr:rowOff>
                  </from>
                  <to>
                    <xdr:col>0</xdr:col>
                    <xdr:colOff>635000</xdr:colOff>
                    <xdr:row>1</xdr:row>
                    <xdr:rowOff>177800</xdr:rowOff>
                  </to>
                </anchor>
              </controlPr>
            </control>
          </mc:Choice>
          <mc:Fallback/>
        </mc:AlternateContent>
      </controls>
    </mc:Choice>
    <mc:Fallback/>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dagrad" enableFormatConditionsCalculation="0"/>
  <dimension ref="A1:K33"/>
  <sheetViews>
    <sheetView zoomScale="120" zoomScaleNormal="130" workbookViewId="0">
      <pane xSplit="3" ySplit="3" topLeftCell="D4" activePane="bottomRight" state="frozen"/>
      <selection pane="topRight" activeCell="D1" sqref="D1"/>
      <selection pane="bottomLeft" activeCell="A4" sqref="A4"/>
      <selection pane="bottomRight" activeCell="F2" sqref="F2"/>
    </sheetView>
  </sheetViews>
  <sheetFormatPr baseColWidth="10" defaultColWidth="8.83203125" defaultRowHeight="15" x14ac:dyDescent="0.2"/>
  <cols>
    <col min="2" max="2" width="6.33203125" customWidth="1"/>
    <col min="3" max="3" width="8.83203125" style="5" customWidth="1"/>
    <col min="4" max="4" width="10.83203125" style="5" bestFit="1" customWidth="1"/>
    <col min="5" max="5" width="9.1640625" style="5" bestFit="1" customWidth="1"/>
    <col min="6" max="6" width="10.83203125" style="7" bestFit="1" customWidth="1"/>
    <col min="7" max="7" width="10.1640625" style="7" bestFit="1" customWidth="1"/>
    <col min="8" max="8" width="8.33203125" bestFit="1" customWidth="1"/>
    <col min="9" max="9" width="5.83203125" bestFit="1" customWidth="1"/>
    <col min="10" max="10" width="1.83203125" bestFit="1" customWidth="1"/>
    <col min="11" max="11" width="4.1640625" bestFit="1" customWidth="1"/>
  </cols>
  <sheetData>
    <row r="1" spans="1:9" x14ac:dyDescent="0.2">
      <c r="B1" s="11" t="s">
        <v>21</v>
      </c>
      <c r="C1" s="5">
        <v>1</v>
      </c>
      <c r="D1" s="12" t="s">
        <v>14</v>
      </c>
      <c r="F1" s="7">
        <v>28.092710228958602</v>
      </c>
      <c r="G1" s="7">
        <v>1918.710769527765</v>
      </c>
    </row>
    <row r="2" spans="1:9" x14ac:dyDescent="0.2">
      <c r="B2" s="11" t="s">
        <v>22</v>
      </c>
      <c r="C2" s="5">
        <v>1</v>
      </c>
      <c r="D2">
        <v>1E-3</v>
      </c>
      <c r="F2" s="9">
        <f>$D$2/F1</f>
        <v>3.5596423123646414E-5</v>
      </c>
      <c r="G2" s="9">
        <f>$D$2/G1</f>
        <v>5.2118329447127722E-7</v>
      </c>
    </row>
    <row r="3" spans="1:9" s="2" customFormat="1" x14ac:dyDescent="0.2">
      <c r="A3" s="2" t="s">
        <v>15</v>
      </c>
      <c r="B3" s="2" t="s">
        <v>16</v>
      </c>
      <c r="C3" s="6" t="s">
        <v>21</v>
      </c>
      <c r="D3" s="6" t="s">
        <v>22</v>
      </c>
      <c r="E3" s="6" t="s">
        <v>18</v>
      </c>
      <c r="F3" s="8" t="s">
        <v>6</v>
      </c>
      <c r="G3" s="8" t="s">
        <v>9</v>
      </c>
      <c r="H3" s="2" t="s">
        <v>13</v>
      </c>
      <c r="I3" s="2" t="s">
        <v>12</v>
      </c>
    </row>
    <row r="4" spans="1:9" x14ac:dyDescent="0.2">
      <c r="A4">
        <v>14</v>
      </c>
      <c r="B4">
        <v>58</v>
      </c>
      <c r="C4" s="5">
        <f>C1</f>
        <v>1</v>
      </c>
      <c r="D4" s="5">
        <f>C2</f>
        <v>1</v>
      </c>
      <c r="E4" s="5">
        <f>C4+D4*A4</f>
        <v>15</v>
      </c>
      <c r="F4" s="7">
        <f t="shared" ref="F4:F32" si="0">2*(D4*A4+C4-B4)</f>
        <v>-86</v>
      </c>
      <c r="G4" s="7">
        <f t="shared" ref="G4:G32" si="1">F4*A4</f>
        <v>-1204</v>
      </c>
      <c r="H4" s="3">
        <f t="shared" ref="H4:H32" si="2">C4-F4*F$2</f>
        <v>1.0030612923886335</v>
      </c>
      <c r="I4" s="3">
        <f t="shared" ref="I4:I32" si="3">D4-G4*G$2</f>
        <v>1.0006275046865434</v>
      </c>
    </row>
    <row r="5" spans="1:9" x14ac:dyDescent="0.2">
      <c r="A5">
        <v>86</v>
      </c>
      <c r="B5">
        <v>202</v>
      </c>
      <c r="C5" s="5">
        <f>H4</f>
        <v>1.0030612923886335</v>
      </c>
      <c r="D5" s="5">
        <f>I4</f>
        <v>1.0006275046865434</v>
      </c>
      <c r="E5" s="5">
        <f>C5+D5*A5</f>
        <v>87.057026695431361</v>
      </c>
      <c r="F5" s="7">
        <f t="shared" si="0"/>
        <v>-229.88594660913728</v>
      </c>
      <c r="G5" s="7">
        <f t="shared" si="1"/>
        <v>-19770.191408385806</v>
      </c>
      <c r="H5" s="3">
        <f>C5-F5*F$2</f>
        <v>1.0112444098143123</v>
      </c>
      <c r="I5" s="3">
        <f t="shared" si="3"/>
        <v>1.0109313981770935</v>
      </c>
    </row>
    <row r="6" spans="1:9" x14ac:dyDescent="0.2">
      <c r="A6">
        <v>28</v>
      </c>
      <c r="B6">
        <v>86</v>
      </c>
      <c r="C6" s="5">
        <f>H5</f>
        <v>1.0112444098143123</v>
      </c>
      <c r="D6" s="5">
        <f>I5</f>
        <v>1.0109313981770935</v>
      </c>
      <c r="E6" s="5">
        <f>C6+D6*A6</f>
        <v>29.317323558772934</v>
      </c>
      <c r="F6" s="7">
        <f t="shared" si="0"/>
        <v>-113.36535288245413</v>
      </c>
      <c r="G6" s="7">
        <f t="shared" si="1"/>
        <v>-3174.2298807087159</v>
      </c>
      <c r="H6" s="3">
        <f>C6-F6*F$2</f>
        <v>1.0152798108830776</v>
      </c>
      <c r="I6" s="3">
        <f t="shared" si="3"/>
        <v>1.0125857537637304</v>
      </c>
    </row>
    <row r="7" spans="1:9" x14ac:dyDescent="0.2">
      <c r="A7">
        <v>51</v>
      </c>
      <c r="B7">
        <v>132</v>
      </c>
      <c r="C7" s="5">
        <f t="shared" ref="C7:C32" si="4">H6</f>
        <v>1.0152798108830776</v>
      </c>
      <c r="D7" s="5">
        <f t="shared" ref="D7:D32" si="5">I6</f>
        <v>1.0125857537637304</v>
      </c>
      <c r="E7" s="5">
        <f t="shared" ref="E7:E32" si="6">C7+D7*A7</f>
        <v>52.657153252833332</v>
      </c>
      <c r="F7" s="7">
        <f t="shared" si="0"/>
        <v>-158.68569349433335</v>
      </c>
      <c r="G7" s="7">
        <f t="shared" si="1"/>
        <v>-8092.9703682110012</v>
      </c>
      <c r="H7" s="3">
        <f t="shared" si="2"/>
        <v>1.0209284539723711</v>
      </c>
      <c r="I7" s="3">
        <f t="shared" si="3"/>
        <v>1.016803674722293</v>
      </c>
    </row>
    <row r="8" spans="1:9" x14ac:dyDescent="0.2">
      <c r="A8">
        <v>28</v>
      </c>
      <c r="B8">
        <v>86</v>
      </c>
      <c r="C8" s="5">
        <f t="shared" si="4"/>
        <v>1.0209284539723711</v>
      </c>
      <c r="D8" s="5">
        <f t="shared" si="5"/>
        <v>1.016803674722293</v>
      </c>
      <c r="E8" s="5">
        <f t="shared" si="6"/>
        <v>29.491431346196574</v>
      </c>
      <c r="F8" s="7">
        <f t="shared" si="0"/>
        <v>-113.01713730760684</v>
      </c>
      <c r="G8" s="7">
        <f t="shared" si="1"/>
        <v>-3164.4798446129917</v>
      </c>
      <c r="H8" s="3">
        <f t="shared" si="2"/>
        <v>1.0249514598121958</v>
      </c>
      <c r="I8" s="3">
        <f t="shared" si="3"/>
        <v>1.0184529487529963</v>
      </c>
    </row>
    <row r="9" spans="1:9" x14ac:dyDescent="0.2">
      <c r="A9">
        <v>29</v>
      </c>
      <c r="B9">
        <v>88</v>
      </c>
      <c r="C9" s="5">
        <f t="shared" si="4"/>
        <v>1.0249514598121958</v>
      </c>
      <c r="D9" s="5">
        <f t="shared" si="5"/>
        <v>1.0184529487529963</v>
      </c>
      <c r="E9" s="5">
        <f t="shared" si="6"/>
        <v>30.560086973649089</v>
      </c>
      <c r="F9" s="7">
        <f t="shared" si="0"/>
        <v>-114.87982605270182</v>
      </c>
      <c r="G9" s="7">
        <f t="shared" si="1"/>
        <v>-3331.5149555283529</v>
      </c>
      <c r="H9" s="3">
        <f t="shared" si="2"/>
        <v>1.0290407707087388</v>
      </c>
      <c r="I9" s="3">
        <f t="shared" si="3"/>
        <v>1.0201892786930988</v>
      </c>
    </row>
    <row r="10" spans="1:9" x14ac:dyDescent="0.2">
      <c r="A10">
        <v>72</v>
      </c>
      <c r="B10">
        <v>174</v>
      </c>
      <c r="C10" s="5">
        <f t="shared" si="4"/>
        <v>1.0290407707087388</v>
      </c>
      <c r="D10" s="5">
        <f t="shared" si="5"/>
        <v>1.0201892786930988</v>
      </c>
      <c r="E10" s="5">
        <f t="shared" si="6"/>
        <v>74.48266883661185</v>
      </c>
      <c r="F10" s="7">
        <f t="shared" si="0"/>
        <v>-199.0346623267763</v>
      </c>
      <c r="G10" s="7">
        <f t="shared" si="1"/>
        <v>-14330.495687527893</v>
      </c>
      <c r="H10" s="3">
        <f t="shared" si="2"/>
        <v>1.0361256927651947</v>
      </c>
      <c r="I10" s="3">
        <f t="shared" si="3"/>
        <v>1.0276580936469311</v>
      </c>
    </row>
    <row r="11" spans="1:9" x14ac:dyDescent="0.2">
      <c r="A11">
        <v>62</v>
      </c>
      <c r="B11">
        <v>154</v>
      </c>
      <c r="C11" s="5">
        <f t="shared" si="4"/>
        <v>1.0361256927651947</v>
      </c>
      <c r="D11" s="5">
        <f t="shared" si="5"/>
        <v>1.0276580936469311</v>
      </c>
      <c r="E11" s="5">
        <f t="shared" si="6"/>
        <v>64.750927498874915</v>
      </c>
      <c r="F11" s="7">
        <f t="shared" si="0"/>
        <v>-178.49814500225017</v>
      </c>
      <c r="G11" s="7">
        <f t="shared" si="1"/>
        <v>-11066.88499013951</v>
      </c>
      <c r="H11" s="3">
        <f t="shared" si="2"/>
        <v>1.0424795882614808</v>
      </c>
      <c r="I11" s="3">
        <f t="shared" si="3"/>
        <v>1.0334259692256267</v>
      </c>
    </row>
    <row r="12" spans="1:9" x14ac:dyDescent="0.2">
      <c r="A12">
        <v>84</v>
      </c>
      <c r="B12">
        <v>198</v>
      </c>
      <c r="C12" s="5">
        <f t="shared" si="4"/>
        <v>1.0424795882614808</v>
      </c>
      <c r="D12" s="5">
        <f t="shared" si="5"/>
        <v>1.0334259692256267</v>
      </c>
      <c r="E12" s="5">
        <f t="shared" si="6"/>
        <v>87.850261003214129</v>
      </c>
      <c r="F12" s="7">
        <f t="shared" si="0"/>
        <v>-220.29947799357174</v>
      </c>
      <c r="G12" s="7">
        <f t="shared" si="1"/>
        <v>-18505.156151460025</v>
      </c>
      <c r="H12" s="3">
        <f t="shared" si="2"/>
        <v>1.0503214616940584</v>
      </c>
      <c r="I12" s="3">
        <f t="shared" si="3"/>
        <v>1.0430705474733499</v>
      </c>
    </row>
    <row r="13" spans="1:9" x14ac:dyDescent="0.2">
      <c r="A13">
        <v>15</v>
      </c>
      <c r="B13">
        <v>60</v>
      </c>
      <c r="C13" s="5">
        <f t="shared" si="4"/>
        <v>1.0503214616940584</v>
      </c>
      <c r="D13" s="5">
        <f t="shared" si="5"/>
        <v>1.0430705474733499</v>
      </c>
      <c r="E13" s="5">
        <f t="shared" si="6"/>
        <v>16.696379673794308</v>
      </c>
      <c r="F13" s="7">
        <f t="shared" si="0"/>
        <v>-86.607240652411377</v>
      </c>
      <c r="G13" s="7">
        <f t="shared" si="1"/>
        <v>-1299.1086097861707</v>
      </c>
      <c r="H13" s="3">
        <f t="shared" si="2"/>
        <v>1.0534043696778932</v>
      </c>
      <c r="I13" s="3">
        <f t="shared" si="3"/>
        <v>1.0437476211784742</v>
      </c>
    </row>
    <row r="14" spans="1:9" x14ac:dyDescent="0.2">
      <c r="A14">
        <v>42</v>
      </c>
      <c r="B14">
        <v>114</v>
      </c>
      <c r="C14" s="5">
        <f t="shared" si="4"/>
        <v>1.0534043696778932</v>
      </c>
      <c r="D14" s="5">
        <f t="shared" si="5"/>
        <v>1.0437476211784742</v>
      </c>
      <c r="E14" s="5">
        <f t="shared" si="6"/>
        <v>44.890804459173808</v>
      </c>
      <c r="F14" s="7">
        <f t="shared" si="0"/>
        <v>-138.21839108165238</v>
      </c>
      <c r="G14" s="7">
        <f t="shared" si="1"/>
        <v>-5805.1724254294004</v>
      </c>
      <c r="H14" s="3">
        <f t="shared" si="2"/>
        <v>1.0583244500103053</v>
      </c>
      <c r="I14" s="3">
        <f t="shared" si="3"/>
        <v>1.0467731800681332</v>
      </c>
    </row>
    <row r="15" spans="1:9" x14ac:dyDescent="0.2">
      <c r="A15">
        <v>62</v>
      </c>
      <c r="B15">
        <v>154</v>
      </c>
      <c r="C15" s="5">
        <f t="shared" si="4"/>
        <v>1.0583244500103053</v>
      </c>
      <c r="D15" s="5">
        <f>I14</f>
        <v>1.0467731800681332</v>
      </c>
      <c r="E15" s="5">
        <f t="shared" si="6"/>
        <v>65.958261614234559</v>
      </c>
      <c r="F15" s="7">
        <f t="shared" si="0"/>
        <v>-176.08347677153088</v>
      </c>
      <c r="G15" s="7">
        <f t="shared" si="1"/>
        <v>-10917.175559834915</v>
      </c>
      <c r="H15" s="3">
        <f t="shared" si="2"/>
        <v>1.0645923919545475</v>
      </c>
      <c r="I15" s="3">
        <f t="shared" si="3"/>
        <v>1.0524630295927293</v>
      </c>
    </row>
    <row r="16" spans="1:9" x14ac:dyDescent="0.2">
      <c r="A16">
        <v>47</v>
      </c>
      <c r="B16">
        <v>124</v>
      </c>
      <c r="C16" s="5">
        <f t="shared" si="4"/>
        <v>1.0645923919545475</v>
      </c>
      <c r="D16" s="5">
        <f t="shared" si="5"/>
        <v>1.0524630295927293</v>
      </c>
      <c r="E16" s="5">
        <f t="shared" si="6"/>
        <v>50.530354782812829</v>
      </c>
      <c r="F16" s="7">
        <f t="shared" si="0"/>
        <v>-146.93929043437436</v>
      </c>
      <c r="G16" s="7">
        <f t="shared" si="1"/>
        <v>-6906.1466504155951</v>
      </c>
      <c r="H16" s="3">
        <f t="shared" si="2"/>
        <v>1.0698229051103378</v>
      </c>
      <c r="I16" s="3">
        <f t="shared" si="3"/>
        <v>1.0560623978560946</v>
      </c>
    </row>
    <row r="17" spans="1:9" x14ac:dyDescent="0.2">
      <c r="A17">
        <v>35</v>
      </c>
      <c r="B17">
        <v>100</v>
      </c>
      <c r="C17" s="5">
        <f t="shared" si="4"/>
        <v>1.0698229051103378</v>
      </c>
      <c r="D17" s="5">
        <f t="shared" si="5"/>
        <v>1.0560623978560946</v>
      </c>
      <c r="E17" s="5">
        <f t="shared" si="6"/>
        <v>38.032006830073648</v>
      </c>
      <c r="F17" s="7">
        <f t="shared" si="0"/>
        <v>-123.9359863398527</v>
      </c>
      <c r="G17" s="7">
        <f t="shared" si="1"/>
        <v>-4337.7595218948445</v>
      </c>
      <c r="H17" s="3">
        <f t="shared" si="2"/>
        <v>1.0742345829203377</v>
      </c>
      <c r="I17" s="3">
        <f t="shared" si="3"/>
        <v>1.0583231656543399</v>
      </c>
    </row>
    <row r="18" spans="1:9" x14ac:dyDescent="0.2">
      <c r="A18">
        <v>9</v>
      </c>
      <c r="B18">
        <v>48</v>
      </c>
      <c r="C18" s="5">
        <f t="shared" si="4"/>
        <v>1.0742345829203377</v>
      </c>
      <c r="D18" s="5">
        <f t="shared" si="5"/>
        <v>1.0583231656543399</v>
      </c>
      <c r="E18" s="5">
        <f t="shared" si="6"/>
        <v>10.599143073809397</v>
      </c>
      <c r="F18" s="7">
        <f t="shared" si="0"/>
        <v>-74.801713852381198</v>
      </c>
      <c r="G18" s="7">
        <f t="shared" si="1"/>
        <v>-673.21542467143081</v>
      </c>
      <c r="H18" s="3">
        <f t="shared" si="2"/>
        <v>1.076897256377001</v>
      </c>
      <c r="I18" s="3">
        <f t="shared" si="3"/>
        <v>1.0586740342872591</v>
      </c>
    </row>
    <row r="19" spans="1:9" x14ac:dyDescent="0.2">
      <c r="A19">
        <v>38</v>
      </c>
      <c r="B19">
        <v>106</v>
      </c>
      <c r="C19" s="5">
        <f t="shared" si="4"/>
        <v>1.076897256377001</v>
      </c>
      <c r="D19" s="5">
        <f t="shared" si="5"/>
        <v>1.0586740342872591</v>
      </c>
      <c r="E19" s="5">
        <f t="shared" si="6"/>
        <v>41.306510559292853</v>
      </c>
      <c r="F19" s="7">
        <f t="shared" si="0"/>
        <v>-129.38697888141428</v>
      </c>
      <c r="G19" s="7">
        <f t="shared" si="1"/>
        <v>-4916.7051974937422</v>
      </c>
      <c r="H19" s="3">
        <f t="shared" si="2"/>
        <v>1.081502970023954</v>
      </c>
      <c r="I19" s="3">
        <f t="shared" si="3"/>
        <v>1.0612365389000329</v>
      </c>
    </row>
    <row r="20" spans="1:9" x14ac:dyDescent="0.2">
      <c r="A20">
        <v>44</v>
      </c>
      <c r="B20">
        <v>118</v>
      </c>
      <c r="C20" s="5">
        <f t="shared" si="4"/>
        <v>1.081502970023954</v>
      </c>
      <c r="D20" s="5">
        <f t="shared" si="5"/>
        <v>1.0612365389000329</v>
      </c>
      <c r="E20" s="5">
        <f t="shared" si="6"/>
        <v>47.775910681625405</v>
      </c>
      <c r="F20" s="7">
        <f t="shared" si="0"/>
        <v>-140.44817863674919</v>
      </c>
      <c r="G20" s="7">
        <f t="shared" si="1"/>
        <v>-6179.719860016964</v>
      </c>
      <c r="H20" s="3">
        <f t="shared" si="2"/>
        <v>1.0865024228176532</v>
      </c>
      <c r="I20" s="3">
        <f t="shared" si="3"/>
        <v>1.0644573056555862</v>
      </c>
    </row>
    <row r="21" spans="1:9" x14ac:dyDescent="0.2">
      <c r="A21">
        <v>99</v>
      </c>
      <c r="B21">
        <v>228</v>
      </c>
      <c r="C21" s="5">
        <f t="shared" si="4"/>
        <v>1.0865024228176532</v>
      </c>
      <c r="D21" s="5">
        <f t="shared" si="5"/>
        <v>1.0644573056555862</v>
      </c>
      <c r="E21" s="5">
        <f t="shared" si="6"/>
        <v>106.46777568272068</v>
      </c>
      <c r="F21" s="7">
        <f t="shared" si="0"/>
        <v>-243.06444863455863</v>
      </c>
      <c r="G21" s="7">
        <f t="shared" si="1"/>
        <v>-24063.380414821306</v>
      </c>
      <c r="H21" s="3">
        <f t="shared" si="2"/>
        <v>1.0951546477775647</v>
      </c>
      <c r="I21" s="3">
        <f t="shared" si="3"/>
        <v>1.0769987375362984</v>
      </c>
    </row>
    <row r="22" spans="1:9" x14ac:dyDescent="0.2">
      <c r="A22">
        <v>13</v>
      </c>
      <c r="B22">
        <v>56</v>
      </c>
      <c r="C22" s="5">
        <f t="shared" si="4"/>
        <v>1.0951546477775647</v>
      </c>
      <c r="D22" s="5">
        <f t="shared" si="5"/>
        <v>1.0769987375362984</v>
      </c>
      <c r="E22" s="5">
        <f t="shared" si="6"/>
        <v>15.096138235749443</v>
      </c>
      <c r="F22" s="7">
        <f t="shared" si="0"/>
        <v>-81.807723528501114</v>
      </c>
      <c r="G22" s="7">
        <f t="shared" si="1"/>
        <v>-1063.5004058705144</v>
      </c>
      <c r="H22" s="3">
        <f t="shared" si="2"/>
        <v>1.0980667101190675</v>
      </c>
      <c r="I22" s="3">
        <f t="shared" si="3"/>
        <v>1.0775530161815015</v>
      </c>
    </row>
    <row r="23" spans="1:9" x14ac:dyDescent="0.2">
      <c r="A23">
        <v>21</v>
      </c>
      <c r="B23">
        <v>72</v>
      </c>
      <c r="C23" s="5">
        <f t="shared" si="4"/>
        <v>1.0980667101190675</v>
      </c>
      <c r="D23" s="5">
        <f t="shared" si="5"/>
        <v>1.0775530161815015</v>
      </c>
      <c r="E23" s="5">
        <f t="shared" si="6"/>
        <v>23.726680049930597</v>
      </c>
      <c r="F23" s="7">
        <f t="shared" si="0"/>
        <v>-96.546639900138814</v>
      </c>
      <c r="G23" s="7">
        <f t="shared" si="1"/>
        <v>-2027.4794379029152</v>
      </c>
      <c r="H23" s="3">
        <f t="shared" si="2"/>
        <v>1.1015034251641191</v>
      </c>
      <c r="I23" s="3">
        <f t="shared" si="3"/>
        <v>1.0786097045944205</v>
      </c>
    </row>
    <row r="24" spans="1:9" x14ac:dyDescent="0.2">
      <c r="A24">
        <v>28</v>
      </c>
      <c r="B24">
        <v>86</v>
      </c>
      <c r="C24" s="5">
        <f t="shared" si="4"/>
        <v>1.1015034251641191</v>
      </c>
      <c r="D24" s="5">
        <f t="shared" si="5"/>
        <v>1.0786097045944205</v>
      </c>
      <c r="E24" s="5">
        <f t="shared" si="6"/>
        <v>31.302575153807894</v>
      </c>
      <c r="F24" s="7">
        <f t="shared" si="0"/>
        <v>-109.39484969238421</v>
      </c>
      <c r="G24" s="7">
        <f t="shared" si="1"/>
        <v>-3063.0557913867578</v>
      </c>
      <c r="H24" s="3">
        <f t="shared" si="2"/>
        <v>1.1053974905213169</v>
      </c>
      <c r="I24" s="3">
        <f t="shared" si="3"/>
        <v>1.0802061181029248</v>
      </c>
    </row>
    <row r="25" spans="1:9" x14ac:dyDescent="0.2">
      <c r="A25">
        <v>20</v>
      </c>
      <c r="B25">
        <v>70</v>
      </c>
      <c r="C25" s="5">
        <f t="shared" si="4"/>
        <v>1.1053974905213169</v>
      </c>
      <c r="D25" s="5">
        <f t="shared" si="5"/>
        <v>1.0802061181029248</v>
      </c>
      <c r="E25" s="5">
        <f t="shared" si="6"/>
        <v>22.709519852579813</v>
      </c>
      <c r="F25" s="7">
        <f t="shared" si="0"/>
        <v>-94.580960294840366</v>
      </c>
      <c r="G25" s="7">
        <f t="shared" si="1"/>
        <v>-1891.6192058968072</v>
      </c>
      <c r="H25" s="3">
        <f t="shared" si="2"/>
        <v>1.1087642344034128</v>
      </c>
      <c r="I25" s="3">
        <f t="shared" si="3"/>
        <v>1.0811919984325391</v>
      </c>
    </row>
    <row r="26" spans="1:9" x14ac:dyDescent="0.2">
      <c r="A26">
        <v>8</v>
      </c>
      <c r="B26">
        <v>46</v>
      </c>
      <c r="C26" s="5">
        <f t="shared" si="4"/>
        <v>1.1087642344034128</v>
      </c>
      <c r="D26" s="5">
        <f t="shared" si="5"/>
        <v>1.0811919984325391</v>
      </c>
      <c r="E26" s="5">
        <f t="shared" si="6"/>
        <v>9.7583002218637258</v>
      </c>
      <c r="F26" s="7">
        <f t="shared" si="0"/>
        <v>-72.483399556272545</v>
      </c>
      <c r="G26" s="7">
        <f t="shared" si="1"/>
        <v>-579.86719645018036</v>
      </c>
      <c r="H26" s="3">
        <f t="shared" si="2"/>
        <v>1.1113443841634583</v>
      </c>
      <c r="I26" s="3">
        <f t="shared" si="3"/>
        <v>1.0814942155283409</v>
      </c>
    </row>
    <row r="27" spans="1:9" x14ac:dyDescent="0.2">
      <c r="A27">
        <v>64</v>
      </c>
      <c r="B27">
        <v>158</v>
      </c>
      <c r="C27" s="5">
        <f t="shared" si="4"/>
        <v>1.1113443841634583</v>
      </c>
      <c r="D27" s="5">
        <f t="shared" si="5"/>
        <v>1.0814942155283409</v>
      </c>
      <c r="E27" s="5">
        <f t="shared" si="6"/>
        <v>70.326974177977277</v>
      </c>
      <c r="F27" s="7">
        <f t="shared" si="0"/>
        <v>-175.34605164404545</v>
      </c>
      <c r="G27" s="7">
        <f t="shared" si="1"/>
        <v>-11222.147305218909</v>
      </c>
      <c r="H27" s="3">
        <f t="shared" si="2"/>
        <v>1.1175860764108405</v>
      </c>
      <c r="I27" s="3">
        <f t="shared" si="3"/>
        <v>1.0873430112319169</v>
      </c>
    </row>
    <row r="28" spans="1:9" x14ac:dyDescent="0.2">
      <c r="A28">
        <v>99</v>
      </c>
      <c r="B28">
        <v>228</v>
      </c>
      <c r="C28" s="5">
        <f t="shared" si="4"/>
        <v>1.1175860764108405</v>
      </c>
      <c r="D28" s="5">
        <f t="shared" si="5"/>
        <v>1.0873430112319169</v>
      </c>
      <c r="E28" s="5">
        <f t="shared" si="6"/>
        <v>108.76454418837062</v>
      </c>
      <c r="F28" s="7">
        <f t="shared" si="0"/>
        <v>-238.47091162325876</v>
      </c>
      <c r="G28" s="7">
        <f t="shared" si="1"/>
        <v>-23608.620250702617</v>
      </c>
      <c r="H28" s="3">
        <f t="shared" si="2"/>
        <v>1.1260747878836637</v>
      </c>
      <c r="I28" s="3">
        <f t="shared" si="3"/>
        <v>1.0996474297120995</v>
      </c>
    </row>
    <row r="29" spans="1:9" x14ac:dyDescent="0.2">
      <c r="A29">
        <v>70</v>
      </c>
      <c r="B29">
        <v>170</v>
      </c>
      <c r="C29" s="5">
        <f t="shared" si="4"/>
        <v>1.1260747878836637</v>
      </c>
      <c r="D29" s="5">
        <f t="shared" si="5"/>
        <v>1.0996474297120995</v>
      </c>
      <c r="E29" s="5">
        <f t="shared" si="6"/>
        <v>78.101394867730633</v>
      </c>
      <c r="F29" s="7">
        <f t="shared" si="0"/>
        <v>-183.79721026453873</v>
      </c>
      <c r="G29" s="7">
        <f t="shared" si="1"/>
        <v>-12865.804718517711</v>
      </c>
      <c r="H29" s="3">
        <f t="shared" si="2"/>
        <v>1.132617311149186</v>
      </c>
      <c r="I29" s="3">
        <f t="shared" si="3"/>
        <v>1.1063528722013207</v>
      </c>
    </row>
    <row r="30" spans="1:9" x14ac:dyDescent="0.2">
      <c r="A30">
        <v>27</v>
      </c>
      <c r="B30">
        <v>84</v>
      </c>
      <c r="C30" s="5">
        <f t="shared" si="4"/>
        <v>1.132617311149186</v>
      </c>
      <c r="D30" s="5">
        <f t="shared" si="5"/>
        <v>1.1063528722013207</v>
      </c>
      <c r="E30" s="5">
        <f t="shared" si="6"/>
        <v>31.004144860584844</v>
      </c>
      <c r="F30" s="7">
        <f t="shared" si="0"/>
        <v>-105.99171027883031</v>
      </c>
      <c r="G30" s="7">
        <f t="shared" si="1"/>
        <v>-2861.7761775284184</v>
      </c>
      <c r="H30" s="3">
        <f t="shared" si="2"/>
        <v>1.13639023691587</v>
      </c>
      <c r="I30" s="3">
        <f t="shared" si="3"/>
        <v>1.1078443821375643</v>
      </c>
    </row>
    <row r="31" spans="1:9" x14ac:dyDescent="0.2">
      <c r="A31">
        <v>17</v>
      </c>
      <c r="B31">
        <v>64</v>
      </c>
      <c r="C31" s="5">
        <f t="shared" si="4"/>
        <v>1.13639023691587</v>
      </c>
      <c r="D31" s="5">
        <f t="shared" si="5"/>
        <v>1.1078443821375643</v>
      </c>
      <c r="E31" s="5">
        <f t="shared" si="6"/>
        <v>19.969744733254462</v>
      </c>
      <c r="F31" s="7">
        <f t="shared" si="0"/>
        <v>-88.060510533491083</v>
      </c>
      <c r="G31" s="7">
        <f t="shared" si="1"/>
        <v>-1497.0286790693485</v>
      </c>
      <c r="H31" s="3">
        <f t="shared" si="2"/>
        <v>1.1395248761093044</v>
      </c>
      <c r="I31" s="3">
        <f t="shared" si="3"/>
        <v>1.1086246084764397</v>
      </c>
    </row>
    <row r="32" spans="1:9" x14ac:dyDescent="0.2">
      <c r="A32">
        <v>8</v>
      </c>
      <c r="B32">
        <v>46</v>
      </c>
      <c r="C32" s="5">
        <f t="shared" si="4"/>
        <v>1.1395248761093044</v>
      </c>
      <c r="D32" s="5">
        <f t="shared" si="5"/>
        <v>1.1086246084764397</v>
      </c>
      <c r="E32" s="5">
        <f t="shared" si="6"/>
        <v>10.008521743920822</v>
      </c>
      <c r="F32" s="7">
        <f t="shared" si="0"/>
        <v>-71.982956512158353</v>
      </c>
      <c r="G32" s="7">
        <f t="shared" si="1"/>
        <v>-575.86365209726682</v>
      </c>
      <c r="H32" s="3">
        <f t="shared" si="2"/>
        <v>1.1420872118870022</v>
      </c>
      <c r="I32" s="3">
        <f t="shared" si="3"/>
        <v>1.108924738991806</v>
      </c>
    </row>
    <row r="33" spans="1:11" x14ac:dyDescent="0.2">
      <c r="A33" s="7"/>
      <c r="B33" s="7"/>
      <c r="F33" s="7">
        <f>SQRT(SUMSQ(F4:F32))/COUNT(F4:F32)</f>
        <v>27.319962416863692</v>
      </c>
      <c r="G33" s="7">
        <f>SQRT(SUMSQ(G4:G32))/COUNT(G4:G32)</f>
        <v>1857.066741115646</v>
      </c>
      <c r="H33" s="3"/>
      <c r="K33" s="1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adagrad.reset">
                <anchor moveWithCells="1">
                  <from>
                    <xdr:col>0</xdr:col>
                    <xdr:colOff>12700</xdr:colOff>
                    <xdr:row>0</xdr:row>
                    <xdr:rowOff>12700</xdr:rowOff>
                  </from>
                  <to>
                    <xdr:col>0</xdr:col>
                    <xdr:colOff>635000</xdr:colOff>
                    <xdr:row>0</xdr:row>
                    <xdr:rowOff>177800</xdr:rowOff>
                  </to>
                </anchor>
              </controlPr>
            </control>
          </mc:Choice>
          <mc:Fallback/>
        </mc:AlternateContent>
        <mc:AlternateContent xmlns:mc="http://schemas.openxmlformats.org/markup-compatibility/2006">
          <mc:Choice Requires="x14">
            <control shapeId="8194" r:id="rId5" name="Button 2">
              <controlPr defaultSize="0" print="0" autoFill="0" autoPict="0" macro="[0]!adagrad.somesteps">
                <anchor moveWithCells="1">
                  <from>
                    <xdr:col>0</xdr:col>
                    <xdr:colOff>12700</xdr:colOff>
                    <xdr:row>1</xdr:row>
                    <xdr:rowOff>12700</xdr:rowOff>
                  </from>
                  <to>
                    <xdr:col>0</xdr:col>
                    <xdr:colOff>635000</xdr:colOff>
                    <xdr:row>1</xdr:row>
                    <xdr:rowOff>177800</xdr:rowOff>
                  </to>
                </anchor>
              </controlPr>
            </control>
          </mc:Choice>
          <mc:Fallback/>
        </mc:AlternateContent>
      </controls>
    </mc:Choice>
    <mc:Fallback/>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msprop" enableFormatConditionsCalculation="0"/>
  <dimension ref="A1:K33"/>
  <sheetViews>
    <sheetView zoomScale="120" zoomScaleNormal="130" workbookViewId="0">
      <pane xSplit="3" ySplit="3" topLeftCell="D4" activePane="bottomRight" state="frozen"/>
      <selection pane="topRight" activeCell="D1" sqref="D1"/>
      <selection pane="bottomLeft" activeCell="A4" sqref="A4"/>
      <selection pane="bottomRight" activeCell="F6" sqref="F6"/>
    </sheetView>
  </sheetViews>
  <sheetFormatPr baseColWidth="10" defaultColWidth="8.83203125" defaultRowHeight="15" x14ac:dyDescent="0.2"/>
  <cols>
    <col min="3" max="3" width="8.83203125" style="5" customWidth="1"/>
    <col min="4" max="4" width="10.83203125" style="5" bestFit="1" customWidth="1"/>
    <col min="5" max="5" width="9.1640625" style="5" bestFit="1" customWidth="1"/>
    <col min="6" max="6" width="10.83203125" style="7" bestFit="1" customWidth="1"/>
    <col min="7" max="7" width="10.1640625" style="7" bestFit="1" customWidth="1"/>
    <col min="8" max="8" width="8.33203125" bestFit="1" customWidth="1"/>
    <col min="9" max="9" width="17" customWidth="1"/>
    <col min="10" max="10" width="8.33203125" customWidth="1"/>
    <col min="11" max="11" width="19.6640625" customWidth="1"/>
  </cols>
  <sheetData>
    <row r="1" spans="1:11" x14ac:dyDescent="0.2">
      <c r="B1" t="s">
        <v>21</v>
      </c>
      <c r="C1" s="5">
        <v>1</v>
      </c>
      <c r="D1" s="5" t="s">
        <v>14</v>
      </c>
      <c r="J1">
        <v>0.9</v>
      </c>
      <c r="K1">
        <f>1-J1</f>
        <v>9.9999999999999978E-2</v>
      </c>
    </row>
    <row r="2" spans="1:11" x14ac:dyDescent="0.2">
      <c r="B2" t="s">
        <v>22</v>
      </c>
      <c r="C2" s="5">
        <v>1</v>
      </c>
      <c r="D2">
        <v>0.02</v>
      </c>
      <c r="F2" s="9"/>
      <c r="G2" s="9"/>
    </row>
    <row r="3" spans="1:11" s="2" customFormat="1" x14ac:dyDescent="0.2">
      <c r="A3" s="2" t="s">
        <v>15</v>
      </c>
      <c r="B3" s="2" t="s">
        <v>16</v>
      </c>
      <c r="C3" s="6" t="s">
        <v>21</v>
      </c>
      <c r="D3" s="6" t="s">
        <v>22</v>
      </c>
      <c r="E3" s="6" t="s">
        <v>18</v>
      </c>
      <c r="F3" s="8" t="s">
        <v>6</v>
      </c>
      <c r="G3" s="8" t="s">
        <v>9</v>
      </c>
      <c r="H3" s="2" t="s">
        <v>13</v>
      </c>
      <c r="I3" s="2" t="s">
        <v>12</v>
      </c>
      <c r="J3">
        <f>J33</f>
        <v>9309.6314749795092</v>
      </c>
      <c r="K3">
        <f>K33</f>
        <v>38847505.049484089</v>
      </c>
    </row>
    <row r="4" spans="1:11" x14ac:dyDescent="0.2">
      <c r="A4">
        <v>14</v>
      </c>
      <c r="B4">
        <v>58</v>
      </c>
      <c r="C4" s="5">
        <f>C1</f>
        <v>1</v>
      </c>
      <c r="D4" s="5">
        <f>C2</f>
        <v>1</v>
      </c>
      <c r="E4" s="5">
        <f>C4+D4*A4</f>
        <v>15</v>
      </c>
      <c r="F4" s="7">
        <f t="shared" ref="F4:F32" si="0">2*(D4*A4+C4-B4)</f>
        <v>-86</v>
      </c>
      <c r="G4" s="7">
        <f t="shared" ref="G4:G32" si="1">F4*A4</f>
        <v>-1204</v>
      </c>
      <c r="H4" s="3">
        <f t="shared" ref="H4:H32" si="2">C4-F4*$D$2/SQRT(J3)</f>
        <v>1.0178263406803389</v>
      </c>
      <c r="I4" s="3">
        <f>D4-G4*$D$2/SQRT(K3)</f>
        <v>1.0038634466250291</v>
      </c>
      <c r="J4">
        <f t="shared" ref="J4:J32" si="3">J3*$J$1+$K$1*F4^2</f>
        <v>9118.268327481559</v>
      </c>
      <c r="K4">
        <f t="shared" ref="K4:K32" si="4">K3*$J$1+$K$1*G4^2</f>
        <v>35107716.144535683</v>
      </c>
    </row>
    <row r="5" spans="1:11" x14ac:dyDescent="0.2">
      <c r="A5">
        <v>86</v>
      </c>
      <c r="B5">
        <v>202</v>
      </c>
      <c r="C5" s="5">
        <f>H4</f>
        <v>1.0178263406803389</v>
      </c>
      <c r="D5" s="5">
        <f>I4</f>
        <v>1.0038634466250291</v>
      </c>
      <c r="E5" s="5">
        <f>C5+D5*A5</f>
        <v>87.350082750432847</v>
      </c>
      <c r="F5" s="7">
        <f>2*(D5*A5+C5-B5)</f>
        <v>-229.29983449913431</v>
      </c>
      <c r="G5" s="7">
        <f t="shared" si="1"/>
        <v>-19719.78576692555</v>
      </c>
      <c r="H5" s="3">
        <f t="shared" si="2"/>
        <v>1.0658524663353617</v>
      </c>
      <c r="I5" s="3">
        <f t="shared" ref="I4:I32" si="5">D5-G5*$D$2/SQRT(K4)</f>
        <v>1.0704261418714132</v>
      </c>
      <c r="J5">
        <f>J4*$J$1+$K$1*F5^2</f>
        <v>13464.282904866439</v>
      </c>
      <c r="K5">
        <f>K4*$J$1+$K$1*G5^2</f>
        <v>70483939.599426061</v>
      </c>
    </row>
    <row r="6" spans="1:11" x14ac:dyDescent="0.2">
      <c r="A6">
        <v>28</v>
      </c>
      <c r="B6">
        <v>86</v>
      </c>
      <c r="C6" s="5">
        <f>H5</f>
        <v>1.0658524663353617</v>
      </c>
      <c r="D6" s="5">
        <f>I5</f>
        <v>1.0704261418714132</v>
      </c>
      <c r="E6" s="5">
        <f>C6+D6*A6</f>
        <v>31.037784438734928</v>
      </c>
      <c r="F6" s="7">
        <f t="shared" si="0"/>
        <v>-109.92443112253014</v>
      </c>
      <c r="G6" s="7">
        <f t="shared" si="1"/>
        <v>-3077.884071430844</v>
      </c>
      <c r="H6" s="3">
        <f t="shared" si="2"/>
        <v>1.0847991240043706</v>
      </c>
      <c r="I6" s="3">
        <f t="shared" si="5"/>
        <v>1.0777583902566392</v>
      </c>
      <c r="J6">
        <f>J5*$J$1+$K$1*F6^2</f>
        <v>13326.192670140983</v>
      </c>
      <c r="K6">
        <f>K5*$J$1+$K$1*G6^2</f>
        <v>64382882.675200231</v>
      </c>
    </row>
    <row r="7" spans="1:11" x14ac:dyDescent="0.2">
      <c r="A7">
        <v>51</v>
      </c>
      <c r="B7">
        <v>132</v>
      </c>
      <c r="C7" s="5">
        <f t="shared" ref="C7:D32" si="6">H6</f>
        <v>1.0847991240043706</v>
      </c>
      <c r="D7" s="5">
        <f t="shared" si="6"/>
        <v>1.0777583902566392</v>
      </c>
      <c r="E7" s="5">
        <f t="shared" ref="E7:E32" si="7">C7+D7*A7</f>
        <v>56.050477027092967</v>
      </c>
      <c r="F7" s="7">
        <f t="shared" si="0"/>
        <v>-151.89904594581407</v>
      </c>
      <c r="G7" s="7">
        <f t="shared" si="1"/>
        <v>-7746.8513432365171</v>
      </c>
      <c r="H7" s="3">
        <f t="shared" si="2"/>
        <v>1.1111158584281933</v>
      </c>
      <c r="I7" s="3">
        <f t="shared" si="5"/>
        <v>1.0970678449350288</v>
      </c>
      <c r="J7">
        <f t="shared" si="3"/>
        <v>14300.905419051738</v>
      </c>
      <c r="K7">
        <f t="shared" si="4"/>
        <v>63945964.981100745</v>
      </c>
    </row>
    <row r="8" spans="1:11" x14ac:dyDescent="0.2">
      <c r="A8">
        <v>28</v>
      </c>
      <c r="B8">
        <v>86</v>
      </c>
      <c r="C8" s="5">
        <f t="shared" si="6"/>
        <v>1.1111158584281933</v>
      </c>
      <c r="D8" s="5">
        <f t="shared" si="6"/>
        <v>1.0970678449350288</v>
      </c>
      <c r="E8" s="5">
        <f t="shared" si="7"/>
        <v>31.829015516609001</v>
      </c>
      <c r="F8" s="7">
        <f>2*(D8*A8+C8-B8)</f>
        <v>-108.34196896678199</v>
      </c>
      <c r="G8" s="7">
        <f t="shared" si="1"/>
        <v>-3033.5751310698956</v>
      </c>
      <c r="H8" s="3">
        <f t="shared" si="2"/>
        <v>1.1292353059910241</v>
      </c>
      <c r="I8" s="3">
        <f t="shared" si="5"/>
        <v>1.1046549863400486</v>
      </c>
      <c r="J8">
        <f t="shared" si="3"/>
        <v>14044.613101106479</v>
      </c>
      <c r="K8">
        <f t="shared" si="4"/>
        <v>58471626.290575251</v>
      </c>
    </row>
    <row r="9" spans="1:11" x14ac:dyDescent="0.2">
      <c r="A9">
        <v>29</v>
      </c>
      <c r="B9">
        <v>88</v>
      </c>
      <c r="C9" s="5">
        <f t="shared" si="6"/>
        <v>1.1292353059910241</v>
      </c>
      <c r="D9" s="5">
        <f t="shared" si="6"/>
        <v>1.1046549863400486</v>
      </c>
      <c r="E9" s="5">
        <f t="shared" si="7"/>
        <v>33.16422990985243</v>
      </c>
      <c r="F9" s="7">
        <f t="shared" si="0"/>
        <v>-109.67154018029514</v>
      </c>
      <c r="G9" s="7">
        <f t="shared" si="1"/>
        <v>-3180.4746652285589</v>
      </c>
      <c r="H9" s="3">
        <f t="shared" si="2"/>
        <v>1.1477437132995656</v>
      </c>
      <c r="I9" s="3">
        <f t="shared" si="5"/>
        <v>1.1129735692503928</v>
      </c>
      <c r="J9">
        <f t="shared" si="3"/>
        <v>13842.93646354764</v>
      </c>
      <c r="K9">
        <f t="shared" si="4"/>
        <v>53636005.571133792</v>
      </c>
    </row>
    <row r="10" spans="1:11" x14ac:dyDescent="0.2">
      <c r="A10">
        <v>72</v>
      </c>
      <c r="B10">
        <v>174</v>
      </c>
      <c r="C10" s="5">
        <f t="shared" si="6"/>
        <v>1.1477437132995656</v>
      </c>
      <c r="D10" s="5">
        <f t="shared" si="6"/>
        <v>1.1129735692503928</v>
      </c>
      <c r="E10" s="5">
        <f t="shared" si="7"/>
        <v>81.281840699327844</v>
      </c>
      <c r="F10" s="7">
        <f t="shared" si="0"/>
        <v>-185.43631860134431</v>
      </c>
      <c r="G10" s="7">
        <f t="shared" si="1"/>
        <v>-13351.41493929679</v>
      </c>
      <c r="H10" s="3">
        <f t="shared" si="2"/>
        <v>1.179265489384306</v>
      </c>
      <c r="I10" s="3">
        <f t="shared" si="5"/>
        <v>1.149434611195548</v>
      </c>
      <c r="J10">
        <f t="shared" si="3"/>
        <v>15897.305642834803</v>
      </c>
      <c r="K10">
        <f t="shared" si="4"/>
        <v>66098433.10214816</v>
      </c>
    </row>
    <row r="11" spans="1:11" x14ac:dyDescent="0.2">
      <c r="A11">
        <v>62</v>
      </c>
      <c r="B11">
        <v>154</v>
      </c>
      <c r="C11" s="5">
        <f t="shared" si="6"/>
        <v>1.179265489384306</v>
      </c>
      <c r="D11" s="5">
        <f t="shared" si="6"/>
        <v>1.149434611195548</v>
      </c>
      <c r="E11" s="5">
        <f t="shared" si="7"/>
        <v>72.444211383508289</v>
      </c>
      <c r="F11" s="7">
        <f t="shared" si="0"/>
        <v>-163.11157723298342</v>
      </c>
      <c r="G11" s="7">
        <f t="shared" si="1"/>
        <v>-10112.917788444973</v>
      </c>
      <c r="H11" s="3">
        <f t="shared" si="2"/>
        <v>1.2051388606764128</v>
      </c>
      <c r="I11" s="3">
        <f t="shared" si="5"/>
        <v>1.1743123492204013</v>
      </c>
      <c r="J11">
        <f t="shared" si="3"/>
        <v>16968.113741294474</v>
      </c>
      <c r="K11">
        <f t="shared" si="4"/>
        <v>69715700.411518008</v>
      </c>
    </row>
    <row r="12" spans="1:11" x14ac:dyDescent="0.2">
      <c r="A12">
        <v>84</v>
      </c>
      <c r="B12">
        <v>198</v>
      </c>
      <c r="C12" s="5">
        <f t="shared" si="6"/>
        <v>1.2051388606764128</v>
      </c>
      <c r="D12" s="5">
        <f t="shared" si="6"/>
        <v>1.1743123492204013</v>
      </c>
      <c r="E12" s="5">
        <f t="shared" si="7"/>
        <v>99.847376195190122</v>
      </c>
      <c r="F12" s="7">
        <f t="shared" si="0"/>
        <v>-196.30524760961976</v>
      </c>
      <c r="G12" s="7">
        <f t="shared" si="1"/>
        <v>-16489.64079920806</v>
      </c>
      <c r="H12" s="3">
        <f t="shared" si="2"/>
        <v>1.2352789907045649</v>
      </c>
      <c r="I12" s="3">
        <f t="shared" si="5"/>
        <v>1.2138104208910743</v>
      </c>
      <c r="J12">
        <f t="shared" si="3"/>
        <v>19124.877391072438</v>
      </c>
      <c r="K12">
        <f t="shared" si="4"/>
        <v>89934955.739056915</v>
      </c>
    </row>
    <row r="13" spans="1:11" x14ac:dyDescent="0.2">
      <c r="A13">
        <v>15</v>
      </c>
      <c r="B13">
        <v>60</v>
      </c>
      <c r="C13" s="5">
        <f t="shared" si="6"/>
        <v>1.2352789907045649</v>
      </c>
      <c r="D13" s="5">
        <f t="shared" si="6"/>
        <v>1.2138104208910743</v>
      </c>
      <c r="E13" s="5">
        <f t="shared" si="7"/>
        <v>19.442435304070678</v>
      </c>
      <c r="F13" s="7">
        <f t="shared" si="0"/>
        <v>-81.115129391858645</v>
      </c>
      <c r="G13" s="7">
        <f t="shared" si="1"/>
        <v>-1216.7269408778798</v>
      </c>
      <c r="H13" s="3">
        <f t="shared" si="2"/>
        <v>1.2470099230776819</v>
      </c>
      <c r="I13" s="3">
        <f t="shared" si="5"/>
        <v>1.2163764339212277</v>
      </c>
      <c r="J13">
        <f t="shared" si="3"/>
        <v>17870.356073590989</v>
      </c>
      <c r="K13">
        <f t="shared" si="4"/>
        <v>81089502.610017031</v>
      </c>
    </row>
    <row r="14" spans="1:11" x14ac:dyDescent="0.2">
      <c r="A14">
        <v>42</v>
      </c>
      <c r="B14">
        <v>114</v>
      </c>
      <c r="C14" s="5">
        <f t="shared" si="6"/>
        <v>1.2470099230776819</v>
      </c>
      <c r="D14" s="5">
        <f t="shared" si="6"/>
        <v>1.2163764339212277</v>
      </c>
      <c r="E14" s="5">
        <f t="shared" si="7"/>
        <v>52.33482014776925</v>
      </c>
      <c r="F14" s="7">
        <f t="shared" si="0"/>
        <v>-123.3303597044615</v>
      </c>
      <c r="G14" s="7">
        <f t="shared" si="1"/>
        <v>-5179.8751075873834</v>
      </c>
      <c r="H14" s="3">
        <f t="shared" si="2"/>
        <v>1.2654614958665862</v>
      </c>
      <c r="I14" s="3">
        <f t="shared" si="5"/>
        <v>1.2278809131934156</v>
      </c>
      <c r="J14">
        <f t="shared" si="3"/>
        <v>17604.358228715075</v>
      </c>
      <c r="K14">
        <f t="shared" si="4"/>
        <v>75663662.962035671</v>
      </c>
    </row>
    <row r="15" spans="1:11" x14ac:dyDescent="0.2">
      <c r="A15">
        <v>62</v>
      </c>
      <c r="B15">
        <v>154</v>
      </c>
      <c r="C15" s="5">
        <f t="shared" si="6"/>
        <v>1.2654614958665862</v>
      </c>
      <c r="D15" s="5">
        <f>I14</f>
        <v>1.2278809131934156</v>
      </c>
      <c r="E15" s="5">
        <f t="shared" si="7"/>
        <v>77.394078113858356</v>
      </c>
      <c r="F15" s="7">
        <f t="shared" si="0"/>
        <v>-153.21184377228329</v>
      </c>
      <c r="G15" s="7">
        <f t="shared" si="1"/>
        <v>-9499.1343138815646</v>
      </c>
      <c r="H15" s="3">
        <f t="shared" si="2"/>
        <v>1.2885561911232954</v>
      </c>
      <c r="I15" s="3">
        <f t="shared" si="5"/>
        <v>1.2497218037710511</v>
      </c>
      <c r="J15">
        <f t="shared" si="3"/>
        <v>18191.309313053822</v>
      </c>
      <c r="K15">
        <f t="shared" si="4"/>
        <v>77120651.937148318</v>
      </c>
    </row>
    <row r="16" spans="1:11" x14ac:dyDescent="0.2">
      <c r="A16">
        <v>47</v>
      </c>
      <c r="B16">
        <v>124</v>
      </c>
      <c r="C16" s="5">
        <f t="shared" si="6"/>
        <v>1.2885561911232954</v>
      </c>
      <c r="D16" s="5">
        <f t="shared" si="6"/>
        <v>1.2497218037710511</v>
      </c>
      <c r="E16" s="5">
        <f t="shared" si="7"/>
        <v>60.0254809683627</v>
      </c>
      <c r="F16" s="7">
        <f t="shared" si="0"/>
        <v>-127.9490380632746</v>
      </c>
      <c r="G16" s="7">
        <f t="shared" si="1"/>
        <v>-6013.6047889739066</v>
      </c>
      <c r="H16" s="3">
        <f t="shared" si="2"/>
        <v>1.3075291489616883</v>
      </c>
      <c r="I16" s="3">
        <f t="shared" si="5"/>
        <v>1.2634173555013009</v>
      </c>
      <c r="J16">
        <f t="shared" si="3"/>
        <v>18009.274015880168</v>
      </c>
      <c r="K16">
        <f t="shared" si="4"/>
        <v>73024930.999230474</v>
      </c>
    </row>
    <row r="17" spans="1:11" x14ac:dyDescent="0.2">
      <c r="A17">
        <v>35</v>
      </c>
      <c r="B17">
        <v>100</v>
      </c>
      <c r="C17" s="5">
        <f t="shared" si="6"/>
        <v>1.3075291489616883</v>
      </c>
      <c r="D17" s="5">
        <f t="shared" si="6"/>
        <v>1.2634173555013009</v>
      </c>
      <c r="E17" s="5">
        <f t="shared" si="7"/>
        <v>45.527136591507222</v>
      </c>
      <c r="F17" s="7">
        <f t="shared" si="0"/>
        <v>-108.94572681698556</v>
      </c>
      <c r="G17" s="7">
        <f t="shared" si="1"/>
        <v>-3813.1004385944943</v>
      </c>
      <c r="H17" s="3">
        <f t="shared" si="2"/>
        <v>1.3237656368615158</v>
      </c>
      <c r="I17" s="3">
        <f t="shared" si="5"/>
        <v>1.2723416247149248</v>
      </c>
      <c r="J17">
        <f t="shared" si="3"/>
        <v>17395.263753460276</v>
      </c>
      <c r="K17">
        <f t="shared" si="4"/>
        <v>67176411.394788384</v>
      </c>
    </row>
    <row r="18" spans="1:11" x14ac:dyDescent="0.2">
      <c r="A18">
        <v>9</v>
      </c>
      <c r="B18">
        <v>48</v>
      </c>
      <c r="C18" s="5">
        <f t="shared" si="6"/>
        <v>1.3237656368615158</v>
      </c>
      <c r="D18" s="5">
        <f t="shared" si="6"/>
        <v>1.2723416247149248</v>
      </c>
      <c r="E18" s="5">
        <f t="shared" si="7"/>
        <v>12.774840259295839</v>
      </c>
      <c r="F18" s="7">
        <f t="shared" si="0"/>
        <v>-70.450319481408314</v>
      </c>
      <c r="G18" s="7">
        <f t="shared" si="1"/>
        <v>-634.05287533267483</v>
      </c>
      <c r="H18" s="3">
        <f t="shared" si="2"/>
        <v>1.3344487407943169</v>
      </c>
      <c r="I18" s="3">
        <f t="shared" si="5"/>
        <v>1.2738888269071464</v>
      </c>
      <c r="J18">
        <f t="shared" si="3"/>
        <v>16152.062129617498</v>
      </c>
      <c r="K18">
        <f t="shared" si="4"/>
        <v>60498972.560181305</v>
      </c>
    </row>
    <row r="19" spans="1:11" x14ac:dyDescent="0.2">
      <c r="A19">
        <v>38</v>
      </c>
      <c r="B19">
        <v>106</v>
      </c>
      <c r="C19" s="5">
        <f t="shared" si="6"/>
        <v>1.3344487407943169</v>
      </c>
      <c r="D19" s="5">
        <f t="shared" si="6"/>
        <v>1.2738888269071464</v>
      </c>
      <c r="E19" s="5">
        <f t="shared" si="7"/>
        <v>49.742224163265881</v>
      </c>
      <c r="F19" s="7">
        <f t="shared" si="0"/>
        <v>-112.51555167346824</v>
      </c>
      <c r="G19" s="7">
        <f t="shared" si="1"/>
        <v>-4275.5909635917933</v>
      </c>
      <c r="H19" s="3">
        <f t="shared" si="2"/>
        <v>1.3521550710901007</v>
      </c>
      <c r="I19" s="3">
        <f t="shared" si="5"/>
        <v>1.2848827361283015</v>
      </c>
      <c r="J19">
        <f t="shared" si="3"/>
        <v>15802.830853494237</v>
      </c>
      <c r="K19">
        <f t="shared" si="4"/>
        <v>56277143.112957954</v>
      </c>
    </row>
    <row r="20" spans="1:11" x14ac:dyDescent="0.2">
      <c r="A20">
        <v>44</v>
      </c>
      <c r="B20">
        <v>118</v>
      </c>
      <c r="C20" s="5">
        <f t="shared" si="6"/>
        <v>1.3521550710901007</v>
      </c>
      <c r="D20" s="5">
        <f t="shared" si="6"/>
        <v>1.2848827361283015</v>
      </c>
      <c r="E20" s="5">
        <f t="shared" si="7"/>
        <v>57.886995460735371</v>
      </c>
      <c r="F20" s="7">
        <f t="shared" si="0"/>
        <v>-120.22600907852926</v>
      </c>
      <c r="G20" s="7">
        <f t="shared" si="1"/>
        <v>-5289.9443994552876</v>
      </c>
      <c r="H20" s="3">
        <f t="shared" si="2"/>
        <v>1.3712826930924653</v>
      </c>
      <c r="I20" s="3">
        <f t="shared" si="5"/>
        <v>1.29898585224858</v>
      </c>
      <c r="J20">
        <f t="shared" si="3"/>
        <v>15667.977094039874</v>
      </c>
      <c r="K20">
        <f t="shared" si="4"/>
        <v>53447779.976594999</v>
      </c>
    </row>
    <row r="21" spans="1:11" x14ac:dyDescent="0.2">
      <c r="A21">
        <v>99</v>
      </c>
      <c r="B21">
        <v>228</v>
      </c>
      <c r="C21" s="5">
        <f t="shared" si="6"/>
        <v>1.3712826930924653</v>
      </c>
      <c r="D21" s="5">
        <f t="shared" si="6"/>
        <v>1.29898585224858</v>
      </c>
      <c r="E21" s="5">
        <f t="shared" si="7"/>
        <v>129.97088206570189</v>
      </c>
      <c r="F21" s="7">
        <f t="shared" si="0"/>
        <v>-196.05823586859623</v>
      </c>
      <c r="G21" s="7">
        <f t="shared" si="1"/>
        <v>-19409.765350991027</v>
      </c>
      <c r="H21" s="3">
        <f t="shared" si="2"/>
        <v>1.4026089584361303</v>
      </c>
      <c r="I21" s="3">
        <f t="shared" si="5"/>
        <v>1.3520847425934954</v>
      </c>
      <c r="J21">
        <f t="shared" si="3"/>
        <v>17945.062569826499</v>
      </c>
      <c r="K21">
        <f t="shared" si="4"/>
        <v>85776901.076988667</v>
      </c>
    </row>
    <row r="22" spans="1:11" x14ac:dyDescent="0.2">
      <c r="A22">
        <v>13</v>
      </c>
      <c r="B22">
        <v>56</v>
      </c>
      <c r="C22" s="5">
        <f t="shared" si="6"/>
        <v>1.4026089584361303</v>
      </c>
      <c r="D22" s="5">
        <f t="shared" si="6"/>
        <v>1.3520847425934954</v>
      </c>
      <c r="E22" s="5">
        <f t="shared" si="7"/>
        <v>18.979710612151571</v>
      </c>
      <c r="F22" s="7">
        <f t="shared" si="0"/>
        <v>-74.040578775696858</v>
      </c>
      <c r="G22" s="7">
        <f t="shared" si="1"/>
        <v>-962.52752408405911</v>
      </c>
      <c r="H22" s="3">
        <f t="shared" si="2"/>
        <v>1.4136631582911605</v>
      </c>
      <c r="I22" s="3">
        <f t="shared" si="5"/>
        <v>1.3541632806325754</v>
      </c>
      <c r="J22">
        <f t="shared" si="3"/>
        <v>16698.757043387868</v>
      </c>
      <c r="K22">
        <f t="shared" si="4"/>
        <v>77291856.892751753</v>
      </c>
    </row>
    <row r="23" spans="1:11" x14ac:dyDescent="0.2">
      <c r="A23">
        <v>21</v>
      </c>
      <c r="B23">
        <v>72</v>
      </c>
      <c r="C23" s="5">
        <f t="shared" si="6"/>
        <v>1.4136631582911605</v>
      </c>
      <c r="D23" s="5">
        <f t="shared" si="6"/>
        <v>1.3541632806325754</v>
      </c>
      <c r="E23" s="5">
        <f t="shared" si="7"/>
        <v>29.851092051575243</v>
      </c>
      <c r="F23" s="7">
        <f t="shared" si="0"/>
        <v>-84.297815896849514</v>
      </c>
      <c r="G23" s="7">
        <f t="shared" si="1"/>
        <v>-1770.2541338338399</v>
      </c>
      <c r="H23" s="3">
        <f t="shared" si="2"/>
        <v>1.4267099655061728</v>
      </c>
      <c r="I23" s="3">
        <f t="shared" si="5"/>
        <v>1.3581904393135271</v>
      </c>
      <c r="J23">
        <f t="shared" si="3"/>
        <v>15739.493515546994</v>
      </c>
      <c r="K23">
        <f t="shared" si="4"/>
        <v>69876051.173312157</v>
      </c>
    </row>
    <row r="24" spans="1:11" x14ac:dyDescent="0.2">
      <c r="A24">
        <v>28</v>
      </c>
      <c r="B24">
        <v>86</v>
      </c>
      <c r="C24" s="5">
        <f t="shared" si="6"/>
        <v>1.4267099655061728</v>
      </c>
      <c r="D24" s="5">
        <f t="shared" si="6"/>
        <v>1.3581904393135271</v>
      </c>
      <c r="E24" s="5">
        <f t="shared" si="7"/>
        <v>39.456042266284932</v>
      </c>
      <c r="F24" s="7">
        <f t="shared" si="0"/>
        <v>-93.087915467430136</v>
      </c>
      <c r="G24" s="7">
        <f t="shared" si="1"/>
        <v>-2606.461633088044</v>
      </c>
      <c r="H24" s="3">
        <f t="shared" si="2"/>
        <v>1.4415497612853454</v>
      </c>
      <c r="I24" s="3">
        <f t="shared" si="5"/>
        <v>1.3644265979611134</v>
      </c>
      <c r="J24">
        <f t="shared" si="3"/>
        <v>15032.080164599438</v>
      </c>
      <c r="K24">
        <f t="shared" si="4"/>
        <v>63567810.280456945</v>
      </c>
    </row>
    <row r="25" spans="1:11" x14ac:dyDescent="0.2">
      <c r="A25">
        <v>20</v>
      </c>
      <c r="B25">
        <v>70</v>
      </c>
      <c r="C25" s="5">
        <f t="shared" si="6"/>
        <v>1.4415497612853454</v>
      </c>
      <c r="D25" s="5">
        <f t="shared" si="6"/>
        <v>1.3644265979611134</v>
      </c>
      <c r="E25" s="5">
        <f t="shared" si="7"/>
        <v>28.730081720507613</v>
      </c>
      <c r="F25" s="7">
        <f t="shared" si="0"/>
        <v>-82.539836558984774</v>
      </c>
      <c r="G25" s="7">
        <f t="shared" si="1"/>
        <v>-1650.7967311796956</v>
      </c>
      <c r="H25" s="3">
        <f t="shared" si="2"/>
        <v>1.4550140699354706</v>
      </c>
      <c r="I25" s="3">
        <f t="shared" si="5"/>
        <v>1.3685675954784378</v>
      </c>
      <c r="J25">
        <f t="shared" si="3"/>
        <v>14210.154610057887</v>
      </c>
      <c r="K25">
        <f t="shared" si="4"/>
        <v>57483542.237178609</v>
      </c>
    </row>
    <row r="26" spans="1:11" x14ac:dyDescent="0.2">
      <c r="A26">
        <v>8</v>
      </c>
      <c r="B26">
        <v>46</v>
      </c>
      <c r="C26" s="5">
        <f t="shared" si="6"/>
        <v>1.4550140699354706</v>
      </c>
      <c r="D26" s="5">
        <f t="shared" si="6"/>
        <v>1.3685675954784378</v>
      </c>
      <c r="E26" s="5">
        <f t="shared" si="7"/>
        <v>12.403554833762973</v>
      </c>
      <c r="F26" s="7">
        <f t="shared" si="0"/>
        <v>-67.19289033247405</v>
      </c>
      <c r="G26" s="7">
        <f t="shared" si="1"/>
        <v>-537.5431226597924</v>
      </c>
      <c r="H26" s="3">
        <f t="shared" si="2"/>
        <v>1.4662874439809293</v>
      </c>
      <c r="I26" s="3">
        <f t="shared" si="5"/>
        <v>1.3699855801769021</v>
      </c>
      <c r="J26">
        <f t="shared" si="3"/>
        <v>13240.627600175287</v>
      </c>
      <c r="K26">
        <f t="shared" si="4"/>
        <v>51764083.274332635</v>
      </c>
    </row>
    <row r="27" spans="1:11" x14ac:dyDescent="0.2">
      <c r="A27">
        <v>64</v>
      </c>
      <c r="B27">
        <v>158</v>
      </c>
      <c r="C27" s="5">
        <f t="shared" si="6"/>
        <v>1.4662874439809293</v>
      </c>
      <c r="D27" s="5">
        <f t="shared" si="6"/>
        <v>1.3699855801769021</v>
      </c>
      <c r="E27" s="5">
        <f t="shared" si="7"/>
        <v>89.145364575302665</v>
      </c>
      <c r="F27" s="7">
        <f t="shared" si="0"/>
        <v>-137.70927084939467</v>
      </c>
      <c r="G27" s="7">
        <f t="shared" si="1"/>
        <v>-8813.3933343612589</v>
      </c>
      <c r="H27" s="3">
        <f t="shared" si="2"/>
        <v>1.4902227447383232</v>
      </c>
      <c r="I27" s="3">
        <f t="shared" si="5"/>
        <v>1.3944851740299169</v>
      </c>
      <c r="J27">
        <f t="shared" si="3"/>
        <v>13812.949167944951</v>
      </c>
      <c r="K27">
        <f t="shared" si="4"/>
        <v>54355265.153515711</v>
      </c>
    </row>
    <row r="28" spans="1:11" x14ac:dyDescent="0.2">
      <c r="A28">
        <v>99</v>
      </c>
      <c r="B28">
        <v>228</v>
      </c>
      <c r="C28" s="5">
        <f t="shared" si="6"/>
        <v>1.4902227447383232</v>
      </c>
      <c r="D28" s="5">
        <f t="shared" si="6"/>
        <v>1.3944851740299169</v>
      </c>
      <c r="E28" s="5">
        <f t="shared" si="7"/>
        <v>139.54425497370011</v>
      </c>
      <c r="F28" s="7">
        <f t="shared" si="0"/>
        <v>-176.91149005259979</v>
      </c>
      <c r="G28" s="7">
        <f t="shared" si="1"/>
        <v>-17514.23751520738</v>
      </c>
      <c r="H28" s="3">
        <f t="shared" si="2"/>
        <v>1.5203280357227018</v>
      </c>
      <c r="I28" s="3">
        <f t="shared" si="5"/>
        <v>1.4419968577618538</v>
      </c>
      <c r="J28">
        <f t="shared" si="3"/>
        <v>15561.421782413567</v>
      </c>
      <c r="K28">
        <f t="shared" si="4"/>
        <v>79594590.212073892</v>
      </c>
    </row>
    <row r="29" spans="1:11" x14ac:dyDescent="0.2">
      <c r="A29">
        <v>70</v>
      </c>
      <c r="B29">
        <v>170</v>
      </c>
      <c r="C29" s="5">
        <f t="shared" si="6"/>
        <v>1.5203280357227018</v>
      </c>
      <c r="D29" s="5">
        <f t="shared" si="6"/>
        <v>1.4419968577618538</v>
      </c>
      <c r="E29" s="5">
        <f t="shared" si="7"/>
        <v>102.46010807905246</v>
      </c>
      <c r="F29" s="7">
        <f t="shared" si="0"/>
        <v>-135.07978384189508</v>
      </c>
      <c r="G29" s="7">
        <f t="shared" si="1"/>
        <v>-9455.5848689326558</v>
      </c>
      <c r="H29" s="3">
        <f t="shared" si="2"/>
        <v>1.5419849070187279</v>
      </c>
      <c r="I29" s="3">
        <f t="shared" si="5"/>
        <v>1.4631939659832729</v>
      </c>
      <c r="J29">
        <f t="shared" si="3"/>
        <v>15829.934404449519</v>
      </c>
      <c r="K29">
        <f t="shared" si="4"/>
        <v>80575939.712225318</v>
      </c>
    </row>
    <row r="30" spans="1:11" x14ac:dyDescent="0.2">
      <c r="A30">
        <v>27</v>
      </c>
      <c r="B30">
        <v>84</v>
      </c>
      <c r="C30" s="5">
        <f t="shared" si="6"/>
        <v>1.5419849070187279</v>
      </c>
      <c r="D30" s="5">
        <f t="shared" si="6"/>
        <v>1.4631939659832729</v>
      </c>
      <c r="E30" s="5">
        <f t="shared" si="7"/>
        <v>41.0482219885671</v>
      </c>
      <c r="F30" s="7">
        <f t="shared" si="0"/>
        <v>-85.9035560228658</v>
      </c>
      <c r="G30" s="7">
        <f t="shared" si="1"/>
        <v>-2319.3960126173765</v>
      </c>
      <c r="H30" s="3">
        <f t="shared" si="2"/>
        <v>1.5556402175293456</v>
      </c>
      <c r="I30" s="3">
        <f t="shared" si="5"/>
        <v>1.4683617245108218</v>
      </c>
      <c r="J30">
        <f t="shared" si="3"/>
        <v>14984.88305774193</v>
      </c>
      <c r="K30">
        <f t="shared" si="4"/>
        <v>73056305.527337328</v>
      </c>
    </row>
    <row r="31" spans="1:11" x14ac:dyDescent="0.2">
      <c r="A31">
        <v>17</v>
      </c>
      <c r="B31">
        <v>64</v>
      </c>
      <c r="C31" s="5">
        <f t="shared" si="6"/>
        <v>1.5556402175293456</v>
      </c>
      <c r="D31" s="5">
        <f t="shared" si="6"/>
        <v>1.4683617245108218</v>
      </c>
      <c r="E31" s="5">
        <f t="shared" si="7"/>
        <v>26.517789534213314</v>
      </c>
      <c r="F31" s="7">
        <f t="shared" si="0"/>
        <v>-74.964420931573372</v>
      </c>
      <c r="G31" s="7">
        <f t="shared" si="1"/>
        <v>-1274.3951558367473</v>
      </c>
      <c r="H31" s="3">
        <f t="shared" si="2"/>
        <v>1.5678880294102748</v>
      </c>
      <c r="I31" s="3">
        <f t="shared" si="5"/>
        <v>1.471343708138098</v>
      </c>
      <c r="J31">
        <f t="shared" si="3"/>
        <v>14048.361192528348</v>
      </c>
      <c r="K31">
        <f t="shared" si="4"/>
        <v>65913083.275925606</v>
      </c>
    </row>
    <row r="32" spans="1:11" x14ac:dyDescent="0.2">
      <c r="A32">
        <v>8</v>
      </c>
      <c r="B32">
        <v>46</v>
      </c>
      <c r="C32" s="5">
        <f t="shared" si="6"/>
        <v>1.5678880294102748</v>
      </c>
      <c r="D32" s="5">
        <f t="shared" si="6"/>
        <v>1.471343708138098</v>
      </c>
      <c r="E32" s="5">
        <f t="shared" si="7"/>
        <v>13.338637694515059</v>
      </c>
      <c r="F32" s="7">
        <f t="shared" si="0"/>
        <v>-65.322724610969885</v>
      </c>
      <c r="G32" s="7">
        <f t="shared" si="1"/>
        <v>-522.58179688775908</v>
      </c>
      <c r="H32" s="3">
        <f t="shared" si="2"/>
        <v>1.5789105635894394</v>
      </c>
      <c r="I32" s="3">
        <f t="shared" si="5"/>
        <v>1.4726310635401902</v>
      </c>
      <c r="J32">
        <f t="shared" si="3"/>
        <v>13070.230908335576</v>
      </c>
      <c r="K32">
        <f t="shared" si="4"/>
        <v>59349084.121776894</v>
      </c>
    </row>
    <row r="33" spans="1:11" x14ac:dyDescent="0.2">
      <c r="A33" s="7"/>
      <c r="B33" s="7"/>
      <c r="H33" s="3"/>
      <c r="J33" s="7">
        <v>9309.6314749795092</v>
      </c>
      <c r="K33">
        <v>38847505.049484089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rmsprop.reset">
                <anchor moveWithCells="1">
                  <from>
                    <xdr:col>0</xdr:col>
                    <xdr:colOff>12700</xdr:colOff>
                    <xdr:row>0</xdr:row>
                    <xdr:rowOff>12700</xdr:rowOff>
                  </from>
                  <to>
                    <xdr:col>0</xdr:col>
                    <xdr:colOff>635000</xdr:colOff>
                    <xdr:row>0</xdr:row>
                    <xdr:rowOff>177800</xdr:rowOff>
                  </to>
                </anchor>
              </controlPr>
            </control>
          </mc:Choice>
          <mc:Fallback/>
        </mc:AlternateContent>
        <mc:AlternateContent xmlns:mc="http://schemas.openxmlformats.org/markup-compatibility/2006">
          <mc:Choice Requires="x14">
            <control shapeId="22530" r:id="rId4" name="Button 2">
              <controlPr defaultSize="0" print="0" autoFill="0" autoPict="0" macro="[0]!rmsprop.somesteps">
                <anchor moveWithCells="1">
                  <from>
                    <xdr:col>0</xdr:col>
                    <xdr:colOff>12700</xdr:colOff>
                    <xdr:row>1</xdr:row>
                    <xdr:rowOff>12700</xdr:rowOff>
                  </from>
                  <to>
                    <xdr:col>0</xdr:col>
                    <xdr:colOff>635000</xdr:colOff>
                    <xdr:row>1</xdr:row>
                    <xdr:rowOff>177800</xdr:rowOff>
                  </to>
                </anchor>
              </controlPr>
            </control>
          </mc:Choice>
          <mc:Fallback/>
        </mc:AlternateContent>
      </controls>
    </mc:Choice>
    <mc:Fallback/>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dam" enableFormatConditionsCalculation="0"/>
  <dimension ref="A1:O33"/>
  <sheetViews>
    <sheetView zoomScale="120" zoomScaleNormal="130" workbookViewId="0">
      <pane xSplit="3" ySplit="3" topLeftCell="D4" activePane="bottomRight" state="frozen"/>
      <selection pane="topRight" activeCell="D1" sqref="D1"/>
      <selection pane="bottomLeft" activeCell="A4" sqref="A4"/>
      <selection pane="bottomRight" activeCell="E4" sqref="E4"/>
    </sheetView>
  </sheetViews>
  <sheetFormatPr baseColWidth="10" defaultColWidth="8.83203125" defaultRowHeight="15" x14ac:dyDescent="0.2"/>
  <cols>
    <col min="3" max="3" width="8.83203125" style="5" customWidth="1"/>
    <col min="4" max="4" width="10.83203125" style="5" bestFit="1" customWidth="1"/>
    <col min="5" max="5" width="9.1640625" style="5" bestFit="1" customWidth="1"/>
    <col min="6" max="6" width="10.83203125" style="7" bestFit="1" customWidth="1"/>
    <col min="7" max="7" width="10.1640625" style="7" bestFit="1" customWidth="1"/>
    <col min="8" max="8" width="8.33203125" bestFit="1" customWidth="1"/>
    <col min="9" max="9" width="5.83203125" bestFit="1" customWidth="1"/>
    <col min="10" max="11" width="6.6640625" customWidth="1"/>
    <col min="12" max="12" width="8.33203125" customWidth="1"/>
    <col min="13" max="13" width="13.1640625" customWidth="1"/>
  </cols>
  <sheetData>
    <row r="1" spans="1:15" x14ac:dyDescent="0.2">
      <c r="B1" t="s">
        <v>21</v>
      </c>
      <c r="C1" s="5">
        <v>1</v>
      </c>
      <c r="D1" s="5" t="s">
        <v>14</v>
      </c>
      <c r="I1" t="s">
        <v>24</v>
      </c>
      <c r="J1">
        <v>0.7</v>
      </c>
      <c r="K1">
        <f>1-J1</f>
        <v>0.30000000000000004</v>
      </c>
      <c r="L1">
        <v>0.9</v>
      </c>
      <c r="M1">
        <f>1-L1</f>
        <v>9.9999999999999978E-2</v>
      </c>
    </row>
    <row r="2" spans="1:15" x14ac:dyDescent="0.2">
      <c r="B2" t="s">
        <v>22</v>
      </c>
      <c r="C2" s="5">
        <v>1</v>
      </c>
      <c r="D2">
        <v>1</v>
      </c>
      <c r="F2" s="9"/>
      <c r="G2" s="9"/>
    </row>
    <row r="3" spans="1:15" s="2" customFormat="1" x14ac:dyDescent="0.2">
      <c r="A3" s="2" t="s">
        <v>15</v>
      </c>
      <c r="B3" s="2" t="s">
        <v>16</v>
      </c>
      <c r="C3" s="6" t="s">
        <v>21</v>
      </c>
      <c r="D3" s="6" t="s">
        <v>22</v>
      </c>
      <c r="E3" s="6" t="s">
        <v>18</v>
      </c>
      <c r="F3" s="8" t="s">
        <v>6</v>
      </c>
      <c r="G3" s="8" t="s">
        <v>9</v>
      </c>
      <c r="H3" s="2" t="s">
        <v>13</v>
      </c>
      <c r="I3" s="2" t="s">
        <v>12</v>
      </c>
      <c r="J3">
        <f>J33</f>
        <v>-19.370509429769257</v>
      </c>
      <c r="K3">
        <f>K33</f>
        <v>-636.96204313606268</v>
      </c>
      <c r="L3">
        <f>L33</f>
        <v>5489.999378391848</v>
      </c>
      <c r="M3">
        <f>M33</f>
        <v>27555653.260482278</v>
      </c>
      <c r="N3" s="4"/>
      <c r="O3" s="4"/>
    </row>
    <row r="4" spans="1:15" x14ac:dyDescent="0.2">
      <c r="A4">
        <v>14</v>
      </c>
      <c r="B4">
        <v>58</v>
      </c>
      <c r="C4" s="5">
        <f>C1</f>
        <v>1</v>
      </c>
      <c r="D4" s="5">
        <f>C2</f>
        <v>1</v>
      </c>
      <c r="E4" s="5">
        <f>C4+D4*A4</f>
        <v>15</v>
      </c>
      <c r="F4" s="7">
        <f t="shared" ref="F4:F32" si="0">2*(D4*A4+C4-B4)</f>
        <v>-86</v>
      </c>
      <c r="G4" s="7">
        <f t="shared" ref="G4:G32" si="1">F4*A4</f>
        <v>-1204</v>
      </c>
      <c r="H4" s="3">
        <f>C4-J4*$D$2/SQRT(L4)</f>
        <v>1.5222168817019814</v>
      </c>
      <c r="I4" s="3">
        <f>D4-K4*$D$2/SQRT(M4)</f>
        <v>1.1615923752588633</v>
      </c>
      <c r="J4">
        <f>J3*$J$1+$K$1*F4</f>
        <v>-39.359356600838481</v>
      </c>
      <c r="K4">
        <f>K3*$J$1+$K$1*G4</f>
        <v>-807.07343019524387</v>
      </c>
      <c r="L4">
        <f t="shared" ref="L4:L32" si="2">L3*$L$1+$M$1*F4^2</f>
        <v>5680.5994405526626</v>
      </c>
      <c r="M4">
        <f t="shared" ref="M4:M32" si="3">M3*$L$1+$M$1*G4^2</f>
        <v>24945049.53443405</v>
      </c>
    </row>
    <row r="5" spans="1:15" x14ac:dyDescent="0.2">
      <c r="A5">
        <v>86</v>
      </c>
      <c r="B5">
        <v>202</v>
      </c>
      <c r="C5" s="5">
        <f>H4</f>
        <v>1.5222168817019814</v>
      </c>
      <c r="D5" s="5">
        <f>I4</f>
        <v>1.1615923752588633</v>
      </c>
      <c r="E5" s="5">
        <f>C5+D5*A5</f>
        <v>101.41916115396423</v>
      </c>
      <c r="F5" s="7">
        <f t="shared" si="0"/>
        <v>-201.16167769207155</v>
      </c>
      <c r="G5" s="7">
        <f t="shared" si="1"/>
        <v>-17299.904281518153</v>
      </c>
      <c r="H5" s="3">
        <f t="shared" ref="H5:H32" si="4">C5-J5*$D$2/SQRT(L5)</f>
        <v>2.4406800624791023</v>
      </c>
      <c r="I5" s="3">
        <f t="shared" ref="I5:I32" si="5">D5-K5*$D$2/SQRT(M5)</f>
        <v>1.956762413138724</v>
      </c>
      <c r="J5">
        <f t="shared" ref="J5:J32" si="6">J4*$J$1+$K$1*F5</f>
        <v>-87.90005292820841</v>
      </c>
      <c r="K5">
        <f t="shared" ref="K5:K32" si="7">K4*$J$1+$K$1*G5</f>
        <v>-5754.9226855921179</v>
      </c>
      <c r="L5">
        <f t="shared" si="2"/>
        <v>9159.1415536862842</v>
      </c>
      <c r="M5">
        <f t="shared" si="3"/>
        <v>52379213.395959646</v>
      </c>
    </row>
    <row r="6" spans="1:15" x14ac:dyDescent="0.2">
      <c r="A6">
        <v>28</v>
      </c>
      <c r="B6">
        <v>86</v>
      </c>
      <c r="C6" s="5">
        <f>H5</f>
        <v>2.4406800624791023</v>
      </c>
      <c r="D6" s="5">
        <f>I5</f>
        <v>1.956762413138724</v>
      </c>
      <c r="E6" s="5">
        <f>C6+D6*A6</f>
        <v>57.230027630363374</v>
      </c>
      <c r="F6" s="7">
        <f t="shared" si="0"/>
        <v>-57.539944739273253</v>
      </c>
      <c r="G6" s="7">
        <f t="shared" si="1"/>
        <v>-1611.118452699651</v>
      </c>
      <c r="H6" s="3">
        <f t="shared" si="4"/>
        <v>3.2915880452759305</v>
      </c>
      <c r="I6" s="3">
        <f t="shared" si="5"/>
        <v>2.6120846873989083</v>
      </c>
      <c r="J6">
        <f t="shared" si="6"/>
        <v>-78.792020471527863</v>
      </c>
      <c r="K6">
        <f t="shared" si="7"/>
        <v>-4511.7814157243774</v>
      </c>
      <c r="L6">
        <f t="shared" si="2"/>
        <v>8574.3119223775175</v>
      </c>
      <c r="M6">
        <f t="shared" si="3"/>
        <v>47400862.323226608</v>
      </c>
    </row>
    <row r="7" spans="1:15" x14ac:dyDescent="0.2">
      <c r="A7">
        <v>51</v>
      </c>
      <c r="B7">
        <v>132</v>
      </c>
      <c r="C7" s="5">
        <f t="shared" ref="C7:D32" si="8">H6</f>
        <v>3.2915880452759305</v>
      </c>
      <c r="D7" s="5">
        <f t="shared" si="8"/>
        <v>2.6120846873989083</v>
      </c>
      <c r="E7" s="5">
        <f t="shared" ref="E7:E32" si="9">C7+D7*A7</f>
        <v>136.50790710262027</v>
      </c>
      <c r="F7" s="7">
        <f t="shared" si="0"/>
        <v>9.015814205240531</v>
      </c>
      <c r="G7" s="7">
        <f t="shared" si="1"/>
        <v>459.80652446726708</v>
      </c>
      <c r="H7" s="3">
        <f t="shared" si="4"/>
        <v>3.8883391853633813</v>
      </c>
      <c r="I7" s="3">
        <f t="shared" si="5"/>
        <v>3.0743899544554814</v>
      </c>
      <c r="J7">
        <f t="shared" si="6"/>
        <v>-52.44967006849734</v>
      </c>
      <c r="K7">
        <f t="shared" si="7"/>
        <v>-3020.3050336668839</v>
      </c>
      <c r="L7">
        <f t="shared" si="2"/>
        <v>7725.0092207181069</v>
      </c>
      <c r="M7">
        <f t="shared" si="3"/>
        <v>42681918.294898212</v>
      </c>
    </row>
    <row r="8" spans="1:15" x14ac:dyDescent="0.2">
      <c r="A8">
        <v>28</v>
      </c>
      <c r="B8">
        <v>86</v>
      </c>
      <c r="C8" s="5">
        <f t="shared" si="8"/>
        <v>3.8883391853633813</v>
      </c>
      <c r="D8" s="5">
        <f t="shared" si="8"/>
        <v>3.0743899544554814</v>
      </c>
      <c r="E8" s="5">
        <f t="shared" si="9"/>
        <v>89.971257910116861</v>
      </c>
      <c r="F8" s="7">
        <f t="shared" si="0"/>
        <v>7.9425158202337229</v>
      </c>
      <c r="G8" s="7">
        <f t="shared" si="1"/>
        <v>222.39044296654424</v>
      </c>
      <c r="H8" s="3">
        <f t="shared" si="4"/>
        <v>4.299897696724396</v>
      </c>
      <c r="I8" s="3">
        <f t="shared" si="5"/>
        <v>3.4047229603450924</v>
      </c>
      <c r="J8">
        <f t="shared" si="6"/>
        <v>-34.332014301878019</v>
      </c>
      <c r="K8">
        <f t="shared" si="7"/>
        <v>-2047.4963906768555</v>
      </c>
      <c r="L8">
        <f t="shared" si="2"/>
        <v>6958.8166544017631</v>
      </c>
      <c r="M8">
        <f t="shared" si="3"/>
        <v>38418672.216320679</v>
      </c>
    </row>
    <row r="9" spans="1:15" x14ac:dyDescent="0.2">
      <c r="A9">
        <v>29</v>
      </c>
      <c r="B9">
        <v>88</v>
      </c>
      <c r="C9" s="5">
        <f t="shared" si="8"/>
        <v>4.299897696724396</v>
      </c>
      <c r="D9" s="5">
        <f t="shared" si="8"/>
        <v>3.4047229603450924</v>
      </c>
      <c r="E9" s="5">
        <f t="shared" si="9"/>
        <v>103.03686354673208</v>
      </c>
      <c r="F9" s="7">
        <f t="shared" si="0"/>
        <v>30.073727093464157</v>
      </c>
      <c r="G9" s="7">
        <f t="shared" si="1"/>
        <v>872.13808571046059</v>
      </c>
      <c r="H9" s="3">
        <f t="shared" si="4"/>
        <v>4.4882135114777197</v>
      </c>
      <c r="I9" s="3">
        <f t="shared" si="5"/>
        <v>3.603749969127918</v>
      </c>
      <c r="J9">
        <f t="shared" si="6"/>
        <v>-15.010291883275361</v>
      </c>
      <c r="K9">
        <f t="shared" si="7"/>
        <v>-1171.6060477606607</v>
      </c>
      <c r="L9">
        <f t="shared" si="2"/>
        <v>6353.3778950908027</v>
      </c>
      <c r="M9">
        <f t="shared" si="3"/>
        <v>34652867.478743285</v>
      </c>
    </row>
    <row r="10" spans="1:15" x14ac:dyDescent="0.2">
      <c r="A10">
        <v>72</v>
      </c>
      <c r="B10">
        <v>174</v>
      </c>
      <c r="C10" s="5">
        <f t="shared" si="8"/>
        <v>4.4882135114777197</v>
      </c>
      <c r="D10" s="5">
        <f t="shared" si="8"/>
        <v>3.603749969127918</v>
      </c>
      <c r="E10" s="5">
        <f t="shared" si="9"/>
        <v>263.95821128868783</v>
      </c>
      <c r="F10" s="7">
        <f t="shared" si="0"/>
        <v>179.91642257737567</v>
      </c>
      <c r="G10" s="7">
        <f t="shared" si="1"/>
        <v>12953.982425571048</v>
      </c>
      <c r="H10" s="3">
        <f t="shared" si="4"/>
        <v>4.0288745185189248</v>
      </c>
      <c r="I10" s="3">
        <f t="shared" si="5"/>
        <v>3.161053900045363</v>
      </c>
      <c r="J10">
        <f t="shared" si="6"/>
        <v>43.467722454919958</v>
      </c>
      <c r="K10">
        <f t="shared" si="7"/>
        <v>3066.0704942388525</v>
      </c>
      <c r="L10">
        <f t="shared" si="2"/>
        <v>8955.0320168858034</v>
      </c>
      <c r="M10">
        <f t="shared" si="3"/>
        <v>47968146.799069315</v>
      </c>
    </row>
    <row r="11" spans="1:15" x14ac:dyDescent="0.2">
      <c r="A11">
        <v>62</v>
      </c>
      <c r="B11">
        <v>154</v>
      </c>
      <c r="C11" s="5">
        <f t="shared" si="8"/>
        <v>4.0288745185189248</v>
      </c>
      <c r="D11" s="5">
        <f t="shared" si="8"/>
        <v>3.161053900045363</v>
      </c>
      <c r="E11" s="5">
        <f t="shared" si="9"/>
        <v>200.01421632133145</v>
      </c>
      <c r="F11" s="7">
        <f t="shared" si="0"/>
        <v>92.028432642662892</v>
      </c>
      <c r="G11" s="7">
        <f t="shared" si="1"/>
        <v>5705.7628238450998</v>
      </c>
      <c r="H11" s="3">
        <f t="shared" si="4"/>
        <v>3.4139176986042741</v>
      </c>
      <c r="I11" s="3">
        <f t="shared" si="5"/>
        <v>2.5948473334506703</v>
      </c>
      <c r="J11">
        <f t="shared" si="6"/>
        <v>58.03593551124284</v>
      </c>
      <c r="K11">
        <f t="shared" si="7"/>
        <v>3857.9781931207267</v>
      </c>
      <c r="L11">
        <f t="shared" si="2"/>
        <v>8906.4520566637366</v>
      </c>
      <c r="M11">
        <f t="shared" si="3"/>
        <v>46426905.05935967</v>
      </c>
    </row>
    <row r="12" spans="1:15" x14ac:dyDescent="0.2">
      <c r="A12">
        <v>84</v>
      </c>
      <c r="B12">
        <v>198</v>
      </c>
      <c r="C12" s="5">
        <f t="shared" si="8"/>
        <v>3.4139176986042741</v>
      </c>
      <c r="D12" s="5">
        <f t="shared" si="8"/>
        <v>2.5948473334506703</v>
      </c>
      <c r="E12" s="5">
        <f t="shared" si="9"/>
        <v>221.38109370846058</v>
      </c>
      <c r="F12" s="7">
        <f t="shared" si="0"/>
        <v>46.762187416921165</v>
      </c>
      <c r="G12" s="7">
        <f t="shared" si="1"/>
        <v>3928.0237430213779</v>
      </c>
      <c r="H12" s="3">
        <f t="shared" si="4"/>
        <v>2.8116321550862153</v>
      </c>
      <c r="I12" s="3">
        <f t="shared" si="5"/>
        <v>2.0055441344621592</v>
      </c>
      <c r="J12">
        <f t="shared" si="6"/>
        <v>54.653811082946341</v>
      </c>
      <c r="K12">
        <f t="shared" si="7"/>
        <v>3878.9918580909225</v>
      </c>
      <c r="L12">
        <f t="shared" si="2"/>
        <v>8234.4770681988884</v>
      </c>
      <c r="M12">
        <f t="shared" si="3"/>
        <v>43327151.605997667</v>
      </c>
    </row>
    <row r="13" spans="1:15" x14ac:dyDescent="0.2">
      <c r="A13">
        <v>15</v>
      </c>
      <c r="B13">
        <v>60</v>
      </c>
      <c r="C13" s="5">
        <f t="shared" si="8"/>
        <v>2.8116321550862153</v>
      </c>
      <c r="D13" s="5">
        <f t="shared" si="8"/>
        <v>2.0055441344621592</v>
      </c>
      <c r="E13" s="5">
        <f t="shared" si="9"/>
        <v>32.894794172018607</v>
      </c>
      <c r="F13" s="7">
        <f t="shared" si="0"/>
        <v>-54.210411655962787</v>
      </c>
      <c r="G13" s="7">
        <f t="shared" si="1"/>
        <v>-813.15617483944175</v>
      </c>
      <c r="H13" s="3">
        <f t="shared" si="4"/>
        <v>2.5610608767426699</v>
      </c>
      <c r="I13" s="3">
        <f t="shared" si="5"/>
        <v>1.6101187170542504</v>
      </c>
      <c r="J13">
        <f t="shared" si="6"/>
        <v>21.9945442612736</v>
      </c>
      <c r="K13">
        <f t="shared" si="7"/>
        <v>2471.3474482118131</v>
      </c>
      <c r="L13">
        <f t="shared" si="2"/>
        <v>7704.9062345698949</v>
      </c>
      <c r="M13">
        <f t="shared" si="3"/>
        <v>39060558.741865851</v>
      </c>
    </row>
    <row r="14" spans="1:15" x14ac:dyDescent="0.2">
      <c r="A14">
        <v>42</v>
      </c>
      <c r="B14">
        <v>114</v>
      </c>
      <c r="C14" s="5">
        <f t="shared" si="8"/>
        <v>2.5610608767426699</v>
      </c>
      <c r="D14" s="5">
        <f t="shared" si="8"/>
        <v>1.6101187170542504</v>
      </c>
      <c r="E14" s="5">
        <f t="shared" si="9"/>
        <v>70.186046993021193</v>
      </c>
      <c r="F14" s="7">
        <f t="shared" si="0"/>
        <v>-87.627906013957613</v>
      </c>
      <c r="G14" s="7">
        <f t="shared" si="1"/>
        <v>-3680.37205258622</v>
      </c>
      <c r="H14" s="3">
        <f t="shared" si="4"/>
        <v>2.6851705330629283</v>
      </c>
      <c r="I14" s="3">
        <f t="shared" si="5"/>
        <v>1.5065431264185785</v>
      </c>
      <c r="J14">
        <f t="shared" si="6"/>
        <v>-10.89219082129577</v>
      </c>
      <c r="K14">
        <f t="shared" si="7"/>
        <v>625.83159797240296</v>
      </c>
      <c r="L14">
        <f t="shared" si="2"/>
        <v>7702.2806023520043</v>
      </c>
      <c r="M14">
        <f t="shared" si="3"/>
        <v>36509016.712225035</v>
      </c>
    </row>
    <row r="15" spans="1:15" x14ac:dyDescent="0.2">
      <c r="A15">
        <v>62</v>
      </c>
      <c r="B15">
        <v>154</v>
      </c>
      <c r="C15" s="5">
        <f t="shared" si="8"/>
        <v>2.6851705330629283</v>
      </c>
      <c r="D15" s="5">
        <f>I14</f>
        <v>1.5065431264185785</v>
      </c>
      <c r="E15" s="5">
        <f t="shared" si="9"/>
        <v>96.090844371014796</v>
      </c>
      <c r="F15" s="7">
        <f t="shared" si="0"/>
        <v>-115.81831125797041</v>
      </c>
      <c r="G15" s="7">
        <f t="shared" si="1"/>
        <v>-7180.7352979941652</v>
      </c>
      <c r="H15" s="3">
        <f t="shared" si="4"/>
        <v>3.1509878847706978</v>
      </c>
      <c r="I15" s="3">
        <f t="shared" si="5"/>
        <v>1.7848847743732295</v>
      </c>
      <c r="J15">
        <f t="shared" si="6"/>
        <v>-42.370026952298169</v>
      </c>
      <c r="K15">
        <f t="shared" si="7"/>
        <v>-1716.1384708175678</v>
      </c>
      <c r="L15">
        <f t="shared" si="2"/>
        <v>8273.4406643816146</v>
      </c>
      <c r="M15">
        <f t="shared" si="3"/>
        <v>38014410.982988462</v>
      </c>
    </row>
    <row r="16" spans="1:15" x14ac:dyDescent="0.2">
      <c r="A16">
        <v>47</v>
      </c>
      <c r="B16">
        <v>124</v>
      </c>
      <c r="C16" s="5">
        <f t="shared" si="8"/>
        <v>3.1509878847706978</v>
      </c>
      <c r="D16" s="5">
        <f t="shared" si="8"/>
        <v>1.7848847743732295</v>
      </c>
      <c r="E16" s="5">
        <f t="shared" si="9"/>
        <v>87.040572280312489</v>
      </c>
      <c r="F16" s="7">
        <f t="shared" si="0"/>
        <v>-73.918855439375022</v>
      </c>
      <c r="G16" s="7">
        <f t="shared" si="1"/>
        <v>-3474.1862056506261</v>
      </c>
      <c r="H16" s="3">
        <f t="shared" si="4"/>
        <v>3.7307891539045204</v>
      </c>
      <c r="I16" s="3">
        <f t="shared" si="5"/>
        <v>2.1618594860757017</v>
      </c>
      <c r="J16">
        <f t="shared" si="6"/>
        <v>-51.834675498421227</v>
      </c>
      <c r="K16">
        <f t="shared" si="7"/>
        <v>-2243.5527912674852</v>
      </c>
      <c r="L16">
        <f t="shared" si="2"/>
        <v>7992.496316890175</v>
      </c>
      <c r="M16">
        <f t="shared" si="3"/>
        <v>35419966.863842919</v>
      </c>
    </row>
    <row r="17" spans="1:13" x14ac:dyDescent="0.2">
      <c r="A17">
        <v>35</v>
      </c>
      <c r="B17">
        <v>100</v>
      </c>
      <c r="C17" s="5">
        <f t="shared" si="8"/>
        <v>3.7307891539045204</v>
      </c>
      <c r="D17" s="5">
        <f t="shared" si="8"/>
        <v>2.1618594860757017</v>
      </c>
      <c r="E17" s="5">
        <f t="shared" si="9"/>
        <v>79.395871166554087</v>
      </c>
      <c r="F17" s="7">
        <f t="shared" si="0"/>
        <v>-41.208257666891825</v>
      </c>
      <c r="G17" s="7">
        <f t="shared" si="1"/>
        <v>-1442.2890183412139</v>
      </c>
      <c r="H17" s="3">
        <f t="shared" si="4"/>
        <v>4.2977129677247019</v>
      </c>
      <c r="I17" s="3">
        <f t="shared" si="5"/>
        <v>2.5154990768569427</v>
      </c>
      <c r="J17">
        <f t="shared" si="6"/>
        <v>-48.646750148962411</v>
      </c>
      <c r="K17">
        <f t="shared" si="7"/>
        <v>-2003.1736593896037</v>
      </c>
      <c r="L17">
        <f t="shared" si="2"/>
        <v>7363.0587351952527</v>
      </c>
      <c r="M17">
        <f t="shared" si="3"/>
        <v>32085989.938701395</v>
      </c>
    </row>
    <row r="18" spans="1:13" x14ac:dyDescent="0.2">
      <c r="A18">
        <v>9</v>
      </c>
      <c r="B18">
        <v>48</v>
      </c>
      <c r="C18" s="5">
        <f t="shared" si="8"/>
        <v>4.2977129677247019</v>
      </c>
      <c r="D18" s="5">
        <f t="shared" si="8"/>
        <v>2.5154990768569427</v>
      </c>
      <c r="E18" s="5">
        <f t="shared" si="9"/>
        <v>26.937204659437189</v>
      </c>
      <c r="F18" s="7">
        <f t="shared" si="0"/>
        <v>-42.125590681125622</v>
      </c>
      <c r="G18" s="7">
        <f t="shared" si="1"/>
        <v>-379.13031613013061</v>
      </c>
      <c r="H18" s="3">
        <f t="shared" si="4"/>
        <v>4.8637420958165807</v>
      </c>
      <c r="I18" s="3">
        <f t="shared" si="5"/>
        <v>2.7975327047649166</v>
      </c>
      <c r="J18">
        <f t="shared" si="6"/>
        <v>-46.690402308611368</v>
      </c>
      <c r="K18">
        <f t="shared" si="7"/>
        <v>-1515.9606564117616</v>
      </c>
      <c r="L18">
        <f t="shared" si="2"/>
        <v>6804.209400699101</v>
      </c>
      <c r="M18">
        <f t="shared" si="3"/>
        <v>28891764.924492151</v>
      </c>
    </row>
    <row r="19" spans="1:13" x14ac:dyDescent="0.2">
      <c r="A19">
        <v>38</v>
      </c>
      <c r="B19">
        <v>106</v>
      </c>
      <c r="C19" s="5">
        <f t="shared" si="8"/>
        <v>4.8637420958165807</v>
      </c>
      <c r="D19" s="5">
        <f t="shared" si="8"/>
        <v>2.7975327047649166</v>
      </c>
      <c r="E19" s="5">
        <f t="shared" si="9"/>
        <v>111.1699848768834</v>
      </c>
      <c r="F19" s="7">
        <f t="shared" si="0"/>
        <v>10.339969753766809</v>
      </c>
      <c r="G19" s="7">
        <f t="shared" si="1"/>
        <v>392.91885064313874</v>
      </c>
      <c r="H19" s="3">
        <f t="shared" si="4"/>
        <v>5.2414257968623277</v>
      </c>
      <c r="I19" s="3">
        <f t="shared" si="5"/>
        <v>2.9824643287675414</v>
      </c>
      <c r="J19">
        <f t="shared" si="6"/>
        <v>-29.581290689897912</v>
      </c>
      <c r="K19">
        <f t="shared" si="7"/>
        <v>-943.29680429529139</v>
      </c>
      <c r="L19">
        <f t="shared" si="2"/>
        <v>6134.4799580800718</v>
      </c>
      <c r="M19">
        <f t="shared" si="3"/>
        <v>26018026.954362009</v>
      </c>
    </row>
    <row r="20" spans="1:13" x14ac:dyDescent="0.2">
      <c r="A20">
        <v>44</v>
      </c>
      <c r="B20">
        <v>118</v>
      </c>
      <c r="C20" s="5">
        <f t="shared" si="8"/>
        <v>5.2414257968623277</v>
      </c>
      <c r="D20" s="5">
        <f t="shared" si="8"/>
        <v>2.9824643287675414</v>
      </c>
      <c r="E20" s="5">
        <f t="shared" si="9"/>
        <v>136.46985626263415</v>
      </c>
      <c r="F20" s="7">
        <f t="shared" si="0"/>
        <v>36.939712525268305</v>
      </c>
      <c r="G20" s="7">
        <f t="shared" si="1"/>
        <v>1625.3473511118054</v>
      </c>
      <c r="H20" s="3">
        <f t="shared" si="4"/>
        <v>5.3693900077862287</v>
      </c>
      <c r="I20" s="3">
        <f t="shared" si="5"/>
        <v>3.0179543917582352</v>
      </c>
      <c r="J20">
        <f t="shared" si="6"/>
        <v>-9.6249897253480459</v>
      </c>
      <c r="K20">
        <f t="shared" si="7"/>
        <v>-172.70355767316221</v>
      </c>
      <c r="L20">
        <f t="shared" si="2"/>
        <v>5657.4861984170111</v>
      </c>
      <c r="M20">
        <f t="shared" si="3"/>
        <v>23680399.660102423</v>
      </c>
    </row>
    <row r="21" spans="1:13" x14ac:dyDescent="0.2">
      <c r="A21">
        <v>99</v>
      </c>
      <c r="B21">
        <v>228</v>
      </c>
      <c r="C21" s="5">
        <f t="shared" si="8"/>
        <v>5.3693900077862287</v>
      </c>
      <c r="D21" s="5">
        <f t="shared" si="8"/>
        <v>3.0179543917582352</v>
      </c>
      <c r="E21" s="5">
        <f t="shared" si="9"/>
        <v>304.14687479185153</v>
      </c>
      <c r="F21" s="7">
        <f t="shared" si="0"/>
        <v>152.29374958370306</v>
      </c>
      <c r="G21" s="7">
        <f t="shared" si="1"/>
        <v>15077.081208786603</v>
      </c>
      <c r="H21" s="3">
        <f t="shared" si="4"/>
        <v>4.91693659294081</v>
      </c>
      <c r="I21" s="3">
        <f t="shared" si="5"/>
        <v>2.354626035348419</v>
      </c>
      <c r="J21">
        <f t="shared" si="6"/>
        <v>38.950632067367295</v>
      </c>
      <c r="K21">
        <f t="shared" si="7"/>
        <v>4402.2318722647688</v>
      </c>
      <c r="L21">
        <f t="shared" si="2"/>
        <v>7411.0761948016752</v>
      </c>
      <c r="M21">
        <f t="shared" si="3"/>
        <v>44044197.47172679</v>
      </c>
    </row>
    <row r="22" spans="1:13" x14ac:dyDescent="0.2">
      <c r="A22">
        <v>13</v>
      </c>
      <c r="B22">
        <v>56</v>
      </c>
      <c r="C22" s="5">
        <f t="shared" si="8"/>
        <v>4.91693659294081</v>
      </c>
      <c r="D22" s="5">
        <f t="shared" si="8"/>
        <v>2.354626035348419</v>
      </c>
      <c r="E22" s="5">
        <f t="shared" si="9"/>
        <v>35.527075052470252</v>
      </c>
      <c r="F22" s="7">
        <f t="shared" si="0"/>
        <v>-40.945849895059496</v>
      </c>
      <c r="G22" s="7">
        <f t="shared" si="1"/>
        <v>-532.29604863577345</v>
      </c>
      <c r="H22" s="3">
        <f t="shared" si="4"/>
        <v>4.7357574924828016</v>
      </c>
      <c r="I22" s="3">
        <f t="shared" si="5"/>
        <v>1.890708652583319</v>
      </c>
      <c r="J22">
        <f t="shared" si="6"/>
        <v>14.981687478639255</v>
      </c>
      <c r="K22">
        <f t="shared" si="7"/>
        <v>2921.8734959946059</v>
      </c>
      <c r="L22">
        <f t="shared" si="2"/>
        <v>6837.6248376843823</v>
      </c>
      <c r="M22">
        <f t="shared" si="3"/>
        <v>39668111.632893443</v>
      </c>
    </row>
    <row r="23" spans="1:13" x14ac:dyDescent="0.2">
      <c r="A23">
        <v>21</v>
      </c>
      <c r="B23">
        <v>72</v>
      </c>
      <c r="C23" s="5">
        <f t="shared" si="8"/>
        <v>4.7357574924828016</v>
      </c>
      <c r="D23" s="5">
        <f t="shared" si="8"/>
        <v>1.890708652583319</v>
      </c>
      <c r="E23" s="5">
        <f t="shared" si="9"/>
        <v>44.440639196732505</v>
      </c>
      <c r="F23" s="7">
        <f t="shared" si="0"/>
        <v>-55.11872160653499</v>
      </c>
      <c r="G23" s="7">
        <f t="shared" si="1"/>
        <v>-1157.4931537372347</v>
      </c>
      <c r="H23" s="3">
        <f t="shared" si="4"/>
        <v>4.8110245818103294</v>
      </c>
      <c r="I23" s="3">
        <f t="shared" si="5"/>
        <v>1.6070483714152493</v>
      </c>
      <c r="J23">
        <f t="shared" si="6"/>
        <v>-6.0484352469130211</v>
      </c>
      <c r="K23">
        <f t="shared" si="7"/>
        <v>1698.0635010750534</v>
      </c>
      <c r="L23">
        <f t="shared" si="2"/>
        <v>6457.6697010698153</v>
      </c>
      <c r="M23">
        <f t="shared" si="3"/>
        <v>35835279.509698957</v>
      </c>
    </row>
    <row r="24" spans="1:13" x14ac:dyDescent="0.2">
      <c r="A24">
        <v>28</v>
      </c>
      <c r="B24">
        <v>86</v>
      </c>
      <c r="C24" s="5">
        <f t="shared" si="8"/>
        <v>4.8110245818103294</v>
      </c>
      <c r="D24" s="5">
        <f t="shared" si="8"/>
        <v>1.6070483714152493</v>
      </c>
      <c r="E24" s="5">
        <f t="shared" si="9"/>
        <v>49.808378981437308</v>
      </c>
      <c r="F24" s="7">
        <f t="shared" si="0"/>
        <v>-72.383242037125385</v>
      </c>
      <c r="G24" s="7">
        <f t="shared" si="1"/>
        <v>-2026.7307770395107</v>
      </c>
      <c r="H24" s="3">
        <f t="shared" si="4"/>
        <v>5.1370238348986579</v>
      </c>
      <c r="I24" s="3">
        <f t="shared" si="5"/>
        <v>1.5054536647111667</v>
      </c>
      <c r="J24">
        <f t="shared" si="6"/>
        <v>-25.948877283976731</v>
      </c>
      <c r="K24">
        <f t="shared" si="7"/>
        <v>580.62521764068401</v>
      </c>
      <c r="L24">
        <f t="shared" si="2"/>
        <v>6335.8361037433415</v>
      </c>
      <c r="M24">
        <f t="shared" si="3"/>
        <v>32662515.322988983</v>
      </c>
    </row>
    <row r="25" spans="1:13" x14ac:dyDescent="0.2">
      <c r="A25">
        <v>20</v>
      </c>
      <c r="B25">
        <v>70</v>
      </c>
      <c r="C25" s="5">
        <f t="shared" si="8"/>
        <v>5.1370238348986579</v>
      </c>
      <c r="D25" s="5">
        <f t="shared" si="8"/>
        <v>1.5054536647111667</v>
      </c>
      <c r="E25" s="5">
        <f t="shared" si="9"/>
        <v>35.246097129121992</v>
      </c>
      <c r="F25" s="7">
        <f t="shared" si="0"/>
        <v>-69.507805741756016</v>
      </c>
      <c r="G25" s="7">
        <f t="shared" si="1"/>
        <v>-1390.1561148351202</v>
      </c>
      <c r="H25" s="3">
        <f t="shared" si="4"/>
        <v>5.6331196071810004</v>
      </c>
      <c r="I25" s="3">
        <f t="shared" si="5"/>
        <v>1.5074040165516844</v>
      </c>
      <c r="J25">
        <f t="shared" si="6"/>
        <v>-39.016555821310519</v>
      </c>
      <c r="K25">
        <f t="shared" si="7"/>
        <v>-10.609182102057332</v>
      </c>
      <c r="L25">
        <f t="shared" si="2"/>
        <v>6185.3859992723765</v>
      </c>
      <c r="M25">
        <f t="shared" si="3"/>
        <v>29589517.193051435</v>
      </c>
    </row>
    <row r="26" spans="1:13" x14ac:dyDescent="0.2">
      <c r="A26">
        <v>8</v>
      </c>
      <c r="B26">
        <v>46</v>
      </c>
      <c r="C26" s="5">
        <f t="shared" si="8"/>
        <v>5.6331196071810004</v>
      </c>
      <c r="D26" s="5">
        <f t="shared" si="8"/>
        <v>1.5074040165516844</v>
      </c>
      <c r="E26" s="5">
        <f t="shared" si="9"/>
        <v>17.692351739594475</v>
      </c>
      <c r="F26" s="7">
        <f t="shared" si="0"/>
        <v>-56.61529652081105</v>
      </c>
      <c r="G26" s="7">
        <f t="shared" si="1"/>
        <v>-452.9223721664884</v>
      </c>
      <c r="H26" s="3">
        <f t="shared" si="4"/>
        <v>6.210424645925567</v>
      </c>
      <c r="I26" s="3">
        <f t="shared" si="5"/>
        <v>1.5351626641089862</v>
      </c>
      <c r="J26">
        <f t="shared" si="6"/>
        <v>-44.296178031160679</v>
      </c>
      <c r="K26">
        <f t="shared" si="7"/>
        <v>-143.30313912138666</v>
      </c>
      <c r="L26">
        <f t="shared" si="2"/>
        <v>5887.3765793590746</v>
      </c>
      <c r="M26">
        <f t="shared" si="3"/>
        <v>26651079.341267183</v>
      </c>
    </row>
    <row r="27" spans="1:13" x14ac:dyDescent="0.2">
      <c r="A27">
        <v>64</v>
      </c>
      <c r="B27">
        <v>158</v>
      </c>
      <c r="C27" s="5">
        <f t="shared" si="8"/>
        <v>6.210424645925567</v>
      </c>
      <c r="D27" s="5">
        <f t="shared" si="8"/>
        <v>1.5351626641089862</v>
      </c>
      <c r="E27" s="5">
        <f t="shared" si="9"/>
        <v>104.46083514890068</v>
      </c>
      <c r="F27" s="7">
        <f t="shared" si="0"/>
        <v>-107.07832970219863</v>
      </c>
      <c r="G27" s="7">
        <f t="shared" si="1"/>
        <v>-6853.0131009407123</v>
      </c>
      <c r="H27" s="3">
        <f t="shared" si="4"/>
        <v>6.9967870169029807</v>
      </c>
      <c r="I27" s="3">
        <f t="shared" si="5"/>
        <v>1.9377730023851494</v>
      </c>
      <c r="J27">
        <f t="shared" si="6"/>
        <v>-63.130823532472064</v>
      </c>
      <c r="K27">
        <f t="shared" si="7"/>
        <v>-2156.2161276671845</v>
      </c>
      <c r="L27">
        <f t="shared" si="2"/>
        <v>6445.2157906044431</v>
      </c>
      <c r="M27">
        <f t="shared" si="3"/>
        <v>28682350.263306968</v>
      </c>
    </row>
    <row r="28" spans="1:13" x14ac:dyDescent="0.2">
      <c r="A28">
        <v>99</v>
      </c>
      <c r="B28">
        <v>228</v>
      </c>
      <c r="C28" s="5">
        <f t="shared" si="8"/>
        <v>6.9967870169029807</v>
      </c>
      <c r="D28" s="5">
        <f t="shared" si="8"/>
        <v>1.9377730023851494</v>
      </c>
      <c r="E28" s="5">
        <f t="shared" si="9"/>
        <v>198.83631425303275</v>
      </c>
      <c r="F28" s="7">
        <f t="shared" si="0"/>
        <v>-58.327371493934493</v>
      </c>
      <c r="G28" s="7">
        <f t="shared" si="1"/>
        <v>-5774.4097778995147</v>
      </c>
      <c r="H28" s="3">
        <f t="shared" si="4"/>
        <v>7.7840089368128922</v>
      </c>
      <c r="I28" s="3">
        <f t="shared" si="5"/>
        <v>2.5382014930761638</v>
      </c>
      <c r="J28">
        <f t="shared" si="6"/>
        <v>-61.689787920910788</v>
      </c>
      <c r="K28">
        <f t="shared" si="7"/>
        <v>-3241.6742227368836</v>
      </c>
      <c r="L28">
        <f t="shared" si="2"/>
        <v>6140.9024380831434</v>
      </c>
      <c r="M28">
        <f t="shared" si="3"/>
        <v>29148496.065286424</v>
      </c>
    </row>
    <row r="29" spans="1:13" x14ac:dyDescent="0.2">
      <c r="A29">
        <v>70</v>
      </c>
      <c r="B29">
        <v>170</v>
      </c>
      <c r="C29" s="5">
        <f t="shared" si="8"/>
        <v>7.7840089368128922</v>
      </c>
      <c r="D29" s="5">
        <f t="shared" si="8"/>
        <v>2.5382014930761638</v>
      </c>
      <c r="E29" s="5">
        <f t="shared" si="9"/>
        <v>185.45811345214435</v>
      </c>
      <c r="F29" s="7">
        <f t="shared" si="0"/>
        <v>30.916226904288692</v>
      </c>
      <c r="G29" s="7">
        <f t="shared" si="1"/>
        <v>2164.1358833002087</v>
      </c>
      <c r="H29" s="3">
        <f t="shared" si="4"/>
        <v>8.2362201674663407</v>
      </c>
      <c r="I29" s="3">
        <f t="shared" si="5"/>
        <v>2.8516922305650976</v>
      </c>
      <c r="J29">
        <f t="shared" si="6"/>
        <v>-33.907983473350939</v>
      </c>
      <c r="K29">
        <f t="shared" si="7"/>
        <v>-1619.9311909257556</v>
      </c>
      <c r="L29">
        <f t="shared" si="2"/>
        <v>5622.3935028745755</v>
      </c>
      <c r="M29">
        <f t="shared" si="3"/>
        <v>26701994.870896537</v>
      </c>
    </row>
    <row r="30" spans="1:13" x14ac:dyDescent="0.2">
      <c r="A30">
        <v>27</v>
      </c>
      <c r="B30">
        <v>84</v>
      </c>
      <c r="C30" s="5">
        <f t="shared" si="8"/>
        <v>8.2362201674663407</v>
      </c>
      <c r="D30" s="5">
        <f t="shared" si="8"/>
        <v>2.8516922305650976</v>
      </c>
      <c r="E30" s="5">
        <f t="shared" si="9"/>
        <v>85.231910392723975</v>
      </c>
      <c r="F30" s="7">
        <f t="shared" si="0"/>
        <v>2.4638207854479504</v>
      </c>
      <c r="G30" s="7">
        <f t="shared" si="1"/>
        <v>66.52316120709466</v>
      </c>
      <c r="H30" s="3">
        <f t="shared" si="4"/>
        <v>8.5594807333501723</v>
      </c>
      <c r="I30" s="3">
        <f t="shared" si="5"/>
        <v>3.0789329154024836</v>
      </c>
      <c r="J30">
        <f t="shared" si="6"/>
        <v>-22.996442195711268</v>
      </c>
      <c r="K30">
        <f t="shared" si="7"/>
        <v>-1113.9948852859006</v>
      </c>
      <c r="L30">
        <f t="shared" si="2"/>
        <v>5060.761193873399</v>
      </c>
      <c r="M30">
        <f t="shared" si="3"/>
        <v>24032237.916904584</v>
      </c>
    </row>
    <row r="31" spans="1:13" x14ac:dyDescent="0.2">
      <c r="A31">
        <v>17</v>
      </c>
      <c r="B31">
        <v>64</v>
      </c>
      <c r="C31" s="5">
        <f t="shared" si="8"/>
        <v>8.5594807333501723</v>
      </c>
      <c r="D31" s="5">
        <f t="shared" si="8"/>
        <v>3.0789329154024836</v>
      </c>
      <c r="E31" s="5">
        <f t="shared" si="9"/>
        <v>60.901340295192391</v>
      </c>
      <c r="F31" s="7">
        <f t="shared" si="0"/>
        <v>-6.1973194096152184</v>
      </c>
      <c r="G31" s="7">
        <f t="shared" si="1"/>
        <v>-105.35442996345871</v>
      </c>
      <c r="H31" s="3">
        <f t="shared" si="4"/>
        <v>8.8254395857997245</v>
      </c>
      <c r="I31" s="3">
        <f t="shared" si="5"/>
        <v>3.2533973748521992</v>
      </c>
      <c r="J31">
        <f t="shared" si="6"/>
        <v>-17.956705359882452</v>
      </c>
      <c r="K31">
        <f t="shared" si="7"/>
        <v>-811.40274868916799</v>
      </c>
      <c r="L31">
        <f t="shared" si="2"/>
        <v>4558.5257512725384</v>
      </c>
      <c r="M31">
        <f t="shared" si="3"/>
        <v>21630124.080805417</v>
      </c>
    </row>
    <row r="32" spans="1:13" x14ac:dyDescent="0.2">
      <c r="A32">
        <v>8</v>
      </c>
      <c r="B32">
        <v>46</v>
      </c>
      <c r="C32" s="5">
        <f t="shared" si="8"/>
        <v>8.8254395857997245</v>
      </c>
      <c r="D32" s="5">
        <f t="shared" si="8"/>
        <v>3.2533973748521992</v>
      </c>
      <c r="E32" s="5">
        <f t="shared" si="9"/>
        <v>34.852618584617318</v>
      </c>
      <c r="F32" s="7">
        <f t="shared" si="0"/>
        <v>-22.294762830765364</v>
      </c>
      <c r="G32" s="7">
        <f t="shared" si="1"/>
        <v>-178.35810264612292</v>
      </c>
      <c r="H32" s="3">
        <f t="shared" si="4"/>
        <v>9.1242979833935127</v>
      </c>
      <c r="I32" s="3">
        <f t="shared" si="5"/>
        <v>3.39424432669359</v>
      </c>
      <c r="J32">
        <f t="shared" si="6"/>
        <v>-19.258122601147328</v>
      </c>
      <c r="K32">
        <f t="shared" si="7"/>
        <v>-621.48935487625442</v>
      </c>
      <c r="L32">
        <f t="shared" si="2"/>
        <v>4152.3788211132924</v>
      </c>
      <c r="M32">
        <f t="shared" si="3"/>
        <v>19470292.83400283</v>
      </c>
    </row>
    <row r="33" spans="1:15" x14ac:dyDescent="0.2">
      <c r="A33" s="7"/>
      <c r="B33" s="7"/>
      <c r="H33" s="3"/>
      <c r="J33">
        <v>-19.370509429769257</v>
      </c>
      <c r="K33">
        <v>-636.96204313606268</v>
      </c>
      <c r="L33" s="7">
        <v>5489.999378391848</v>
      </c>
      <c r="M33" s="7">
        <v>27555653.260482278</v>
      </c>
      <c r="O33"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adam.reset">
                <anchor moveWithCells="1">
                  <from>
                    <xdr:col>0</xdr:col>
                    <xdr:colOff>12700</xdr:colOff>
                    <xdr:row>0</xdr:row>
                    <xdr:rowOff>12700</xdr:rowOff>
                  </from>
                  <to>
                    <xdr:col>0</xdr:col>
                    <xdr:colOff>635000</xdr:colOff>
                    <xdr:row>0</xdr:row>
                    <xdr:rowOff>177800</xdr:rowOff>
                  </to>
                </anchor>
              </controlPr>
            </control>
          </mc:Choice>
          <mc:Fallback/>
        </mc:AlternateContent>
        <mc:AlternateContent xmlns:mc="http://schemas.openxmlformats.org/markup-compatibility/2006">
          <mc:Choice Requires="x14">
            <control shapeId="30722" r:id="rId4" name="Button 2">
              <controlPr defaultSize="0" print="0" autoFill="0" autoPict="0" macro="[0]!adam.somesteps">
                <anchor moveWithCells="1">
                  <from>
                    <xdr:col>0</xdr:col>
                    <xdr:colOff>12700</xdr:colOff>
                    <xdr:row>1</xdr:row>
                    <xdr:rowOff>12700</xdr:rowOff>
                  </from>
                  <to>
                    <xdr:col>0</xdr:col>
                    <xdr:colOff>635000</xdr:colOff>
                    <xdr:row>1</xdr:row>
                    <xdr:rowOff>177800</xdr:rowOff>
                  </to>
                </anchor>
              </controlPr>
            </control>
          </mc:Choice>
          <mc:Fallback/>
        </mc:AlternateContent>
      </controls>
    </mc:Choice>
    <mc:Fallback/>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eve" enableFormatConditionsCalculation="0"/>
  <dimension ref="A1:P38"/>
  <sheetViews>
    <sheetView zoomScale="120" zoomScaleNormal="130" workbookViewId="0">
      <pane xSplit="3" ySplit="3" topLeftCell="D4" activePane="bottomRight" state="frozen"/>
      <selection pane="topRight" activeCell="D1" sqref="D1"/>
      <selection pane="bottomLeft" activeCell="A4" sqref="A4"/>
      <selection pane="bottomRight" activeCell="F37" sqref="F37"/>
    </sheetView>
  </sheetViews>
  <sheetFormatPr baseColWidth="10" defaultColWidth="8.83203125" defaultRowHeight="15" x14ac:dyDescent="0.2"/>
  <cols>
    <col min="3" max="3" width="8.83203125" style="5" customWidth="1"/>
    <col min="4" max="4" width="10.83203125" style="5" bestFit="1" customWidth="1"/>
    <col min="5" max="5" width="9.1640625" style="5" bestFit="1" customWidth="1"/>
    <col min="6" max="6" width="9.1640625" style="5" customWidth="1"/>
    <col min="7" max="7" width="10.83203125" style="7" bestFit="1" customWidth="1"/>
    <col min="8" max="8" width="10.1640625" style="7" bestFit="1" customWidth="1"/>
    <col min="9" max="9" width="8.33203125" bestFit="1" customWidth="1"/>
    <col min="10" max="10" width="5.83203125" bestFit="1" customWidth="1"/>
    <col min="11" max="12" width="6.6640625" customWidth="1"/>
    <col min="13" max="13" width="8.33203125" customWidth="1"/>
    <col min="14" max="14" width="13.1640625" customWidth="1"/>
  </cols>
  <sheetData>
    <row r="1" spans="1:16" x14ac:dyDescent="0.2">
      <c r="B1" t="s">
        <v>21</v>
      </c>
      <c r="C1" s="5">
        <v>31.600403702806751</v>
      </c>
      <c r="D1" s="5" t="s">
        <v>14</v>
      </c>
      <c r="J1" t="s">
        <v>24</v>
      </c>
      <c r="K1">
        <v>0.7</v>
      </c>
      <c r="L1">
        <f>1-K1</f>
        <v>0.30000000000000004</v>
      </c>
      <c r="M1">
        <v>0.9</v>
      </c>
      <c r="N1">
        <f>1-M1</f>
        <v>9.9999999999999978E-2</v>
      </c>
    </row>
    <row r="2" spans="1:16" x14ac:dyDescent="0.2">
      <c r="B2" t="s">
        <v>22</v>
      </c>
      <c r="C2" s="5">
        <v>2.1361502161891996</v>
      </c>
      <c r="D2">
        <v>1</v>
      </c>
      <c r="G2" s="9"/>
      <c r="H2" s="9"/>
    </row>
    <row r="3" spans="1:16" s="2" customFormat="1" x14ac:dyDescent="0.2">
      <c r="A3" s="2" t="s">
        <v>15</v>
      </c>
      <c r="B3" s="2" t="s">
        <v>16</v>
      </c>
      <c r="C3" s="6" t="s">
        <v>21</v>
      </c>
      <c r="D3" s="6" t="s">
        <v>22</v>
      </c>
      <c r="E3" s="6" t="s">
        <v>18</v>
      </c>
      <c r="F3" s="6" t="s">
        <v>1</v>
      </c>
      <c r="G3" s="8" t="s">
        <v>6</v>
      </c>
      <c r="H3" s="8" t="s">
        <v>9</v>
      </c>
      <c r="I3" s="2" t="s">
        <v>13</v>
      </c>
      <c r="J3" s="2" t="s">
        <v>12</v>
      </c>
      <c r="K3">
        <f>K33</f>
        <v>-2.5942163513307364</v>
      </c>
      <c r="L3">
        <f>L33</f>
        <v>-106.89640288854068</v>
      </c>
      <c r="M3">
        <f>M33</f>
        <v>751.00449153420504</v>
      </c>
      <c r="N3">
        <f>N33</f>
        <v>3487763.6463812324</v>
      </c>
      <c r="O3" s="4"/>
      <c r="P3" s="4"/>
    </row>
    <row r="4" spans="1:16" x14ac:dyDescent="0.2">
      <c r="A4">
        <v>14</v>
      </c>
      <c r="B4">
        <v>58</v>
      </c>
      <c r="C4" s="3">
        <f>C1</f>
        <v>31.600403702806751</v>
      </c>
      <c r="D4" s="3">
        <f>C2</f>
        <v>2.1361502161891996</v>
      </c>
      <c r="E4" s="3">
        <f>C4+D4*A4</f>
        <v>61.506506729455545</v>
      </c>
      <c r="F4" s="3">
        <f>(E4-B4)^2</f>
        <v>12.29558944371702</v>
      </c>
      <c r="G4" s="7">
        <f t="shared" ref="G4:G32" si="0">2*(D4*A4+C4-B4)</f>
        <v>7.0130134589110895</v>
      </c>
      <c r="H4" s="7">
        <f t="shared" ref="H4:H32" si="1">G4*A4</f>
        <v>98.182188424755253</v>
      </c>
      <c r="I4" s="3">
        <f>C4-K4*$D$2/SQRT(M4)/$F$38</f>
        <v>31.585671450120842</v>
      </c>
      <c r="J4" s="3">
        <f>D4-L4*$D$2/SQRT(N4)/$F$38</f>
        <v>2.1703323695561303</v>
      </c>
      <c r="K4">
        <f>K3*$K$1+$L$1*G4</f>
        <v>0.28795259174181176</v>
      </c>
      <c r="L4">
        <f>L3*$K$1+$L$1*H4</f>
        <v>-45.37282549455189</v>
      </c>
      <c r="M4">
        <f t="shared" ref="M4:N32" si="2">M3*$M$1+$N$1*G4^2</f>
        <v>680.82227815827127</v>
      </c>
      <c r="N4">
        <f t="shared" si="2"/>
        <v>3139951.2559554968</v>
      </c>
    </row>
    <row r="5" spans="1:16" x14ac:dyDescent="0.2">
      <c r="A5">
        <v>86</v>
      </c>
      <c r="B5">
        <v>202</v>
      </c>
      <c r="C5" s="3">
        <f>I4</f>
        <v>31.585671450120842</v>
      </c>
      <c r="D5" s="3">
        <f>J4</f>
        <v>2.1703323695561303</v>
      </c>
      <c r="E5" s="3">
        <f>C5+D5*A5</f>
        <v>218.23425523194805</v>
      </c>
      <c r="F5" s="3">
        <f t="shared" ref="F5:F32" si="3">(E5-B5)^2</f>
        <v>263.55104293603279</v>
      </c>
      <c r="G5" s="7">
        <f t="shared" si="0"/>
        <v>32.468510463896109</v>
      </c>
      <c r="H5" s="7">
        <f t="shared" si="1"/>
        <v>2792.2918998950654</v>
      </c>
      <c r="I5" s="3">
        <f t="shared" ref="I5:I32" si="4">C5-K5*$D$2/SQRT(M5)/$F$38</f>
        <v>31.090411399292034</v>
      </c>
      <c r="J5" s="3">
        <f t="shared" ref="J5:J32" si="5">D5-L5*$D$2/SQRT(N5)/$F$38</f>
        <v>1.60374222287617</v>
      </c>
      <c r="K5">
        <f t="shared" ref="K5:L20" si="6">K4*$K$1+$L$1*G5</f>
        <v>9.9421199533881026</v>
      </c>
      <c r="L5">
        <f t="shared" si="6"/>
        <v>805.92659212233343</v>
      </c>
      <c r="M5">
        <f t="shared" si="2"/>
        <v>718.16046751685724</v>
      </c>
      <c r="N5">
        <f t="shared" si="2"/>
        <v>3605645.5357819065</v>
      </c>
    </row>
    <row r="6" spans="1:16" x14ac:dyDescent="0.2">
      <c r="A6">
        <v>28</v>
      </c>
      <c r="B6">
        <v>86</v>
      </c>
      <c r="C6" s="3">
        <f>I5</f>
        <v>31.090411399292034</v>
      </c>
      <c r="D6" s="3">
        <f>J5</f>
        <v>1.60374222287617</v>
      </c>
      <c r="E6" s="3">
        <f>C6+D6*A6</f>
        <v>75.995193639824791</v>
      </c>
      <c r="F6" s="3">
        <f t="shared" si="3"/>
        <v>100.09615030460232</v>
      </c>
      <c r="G6" s="7">
        <f t="shared" si="0"/>
        <v>-20.009612720350418</v>
      </c>
      <c r="H6" s="7">
        <f t="shared" si="1"/>
        <v>-560.26915616981171</v>
      </c>
      <c r="I6" s="3">
        <f t="shared" si="4"/>
        <v>31.041668397614355</v>
      </c>
      <c r="J6" s="3">
        <f t="shared" si="5"/>
        <v>1.3116422721319365</v>
      </c>
      <c r="K6">
        <f t="shared" si="6"/>
        <v>0.95660015126654496</v>
      </c>
      <c r="L6">
        <f t="shared" si="6"/>
        <v>396.06786763468983</v>
      </c>
      <c r="M6">
        <f t="shared" si="2"/>
        <v>686.38288088701245</v>
      </c>
      <c r="N6">
        <f t="shared" si="2"/>
        <v>3276471.1349392394</v>
      </c>
    </row>
    <row r="7" spans="1:16" x14ac:dyDescent="0.2">
      <c r="A7">
        <v>51</v>
      </c>
      <c r="B7">
        <v>132</v>
      </c>
      <c r="C7" s="3">
        <f t="shared" ref="C7:D32" si="7">I6</f>
        <v>31.041668397614355</v>
      </c>
      <c r="D7" s="3">
        <f t="shared" si="7"/>
        <v>1.3116422721319365</v>
      </c>
      <c r="E7" s="3">
        <f t="shared" ref="E7:E32" si="8">C7+D7*A7</f>
        <v>97.935424276343127</v>
      </c>
      <c r="F7" s="3">
        <f t="shared" si="3"/>
        <v>1160.3953192327531</v>
      </c>
      <c r="G7" s="7">
        <f t="shared" si="0"/>
        <v>-68.129151447313745</v>
      </c>
      <c r="H7" s="7">
        <f t="shared" si="1"/>
        <v>-3474.5867238130008</v>
      </c>
      <c r="I7" s="3">
        <f t="shared" si="4"/>
        <v>31.844008306680081</v>
      </c>
      <c r="J7" s="3">
        <f t="shared" si="5"/>
        <v>1.8126638992640656</v>
      </c>
      <c r="K7">
        <f t="shared" si="6"/>
        <v>-19.769125328307545</v>
      </c>
      <c r="L7">
        <f t="shared" si="6"/>
        <v>-765.1285097996174</v>
      </c>
      <c r="M7">
        <f t="shared" si="2"/>
        <v>1081.9027204914123</v>
      </c>
      <c r="N7">
        <f t="shared" si="2"/>
        <v>4156099.311575071</v>
      </c>
    </row>
    <row r="8" spans="1:16" x14ac:dyDescent="0.2">
      <c r="A8">
        <v>28</v>
      </c>
      <c r="B8">
        <v>86</v>
      </c>
      <c r="C8" s="3">
        <f t="shared" si="7"/>
        <v>31.844008306680081</v>
      </c>
      <c r="D8" s="3">
        <f t="shared" si="7"/>
        <v>1.8126638992640656</v>
      </c>
      <c r="E8" s="3">
        <f t="shared" si="8"/>
        <v>82.598597486073913</v>
      </c>
      <c r="F8" s="3">
        <f t="shared" si="3"/>
        <v>11.569539061742702</v>
      </c>
      <c r="G8" s="7">
        <f t="shared" si="0"/>
        <v>-6.8028050278521732</v>
      </c>
      <c r="H8" s="7">
        <f t="shared" si="1"/>
        <v>-190.47854077986085</v>
      </c>
      <c r="I8" s="3">
        <f t="shared" si="4"/>
        <v>32.521727056928739</v>
      </c>
      <c r="J8" s="3">
        <f t="shared" si="5"/>
        <v>2.2215946728555851</v>
      </c>
      <c r="K8">
        <f t="shared" si="6"/>
        <v>-15.879229238170932</v>
      </c>
      <c r="L8">
        <f t="shared" si="6"/>
        <v>-592.73351909369046</v>
      </c>
      <c r="M8">
        <f t="shared" si="2"/>
        <v>978.34026406696819</v>
      </c>
      <c r="N8">
        <f t="shared" si="2"/>
        <v>3744117.5878673266</v>
      </c>
    </row>
    <row r="9" spans="1:16" x14ac:dyDescent="0.2">
      <c r="A9">
        <v>29</v>
      </c>
      <c r="B9">
        <v>88</v>
      </c>
      <c r="C9" s="3">
        <f t="shared" si="7"/>
        <v>32.521727056928739</v>
      </c>
      <c r="D9" s="3">
        <f t="shared" si="7"/>
        <v>2.2215946728555851</v>
      </c>
      <c r="E9" s="3">
        <f t="shared" si="8"/>
        <v>96.947972569740713</v>
      </c>
      <c r="F9" s="3">
        <f t="shared" si="3"/>
        <v>80.06621310883223</v>
      </c>
      <c r="G9" s="7">
        <f t="shared" si="0"/>
        <v>17.895945139481427</v>
      </c>
      <c r="H9" s="7">
        <f t="shared" si="1"/>
        <v>518.9824090449614</v>
      </c>
      <c r="I9" s="3">
        <f t="shared" si="4"/>
        <v>32.77568254656309</v>
      </c>
      <c r="J9" s="3">
        <f t="shared" si="5"/>
        <v>2.4093562292668067</v>
      </c>
      <c r="K9">
        <f t="shared" si="6"/>
        <v>-5.7466769248752234</v>
      </c>
      <c r="L9">
        <f t="shared" si="6"/>
        <v>-259.21874065209488</v>
      </c>
      <c r="M9">
        <f t="shared" si="2"/>
        <v>912.53272290380426</v>
      </c>
      <c r="N9">
        <f t="shared" si="2"/>
        <v>3396640.1031704051</v>
      </c>
    </row>
    <row r="10" spans="1:16" x14ac:dyDescent="0.2">
      <c r="A10">
        <v>72</v>
      </c>
      <c r="B10">
        <v>174</v>
      </c>
      <c r="C10" s="3">
        <f t="shared" si="7"/>
        <v>32.77568254656309</v>
      </c>
      <c r="D10" s="3">
        <f t="shared" si="7"/>
        <v>2.4093562292668067</v>
      </c>
      <c r="E10" s="3">
        <f t="shared" si="8"/>
        <v>206.24933105377318</v>
      </c>
      <c r="F10" s="3">
        <f t="shared" si="3"/>
        <v>1040.0193534158589</v>
      </c>
      <c r="G10" s="7">
        <f t="shared" si="0"/>
        <v>64.498662107546352</v>
      </c>
      <c r="H10" s="7">
        <f t="shared" si="1"/>
        <v>4643.9036717433373</v>
      </c>
      <c r="I10" s="3">
        <f t="shared" si="4"/>
        <v>32.194001632369705</v>
      </c>
      <c r="J10" s="3">
        <f t="shared" si="5"/>
        <v>1.7009222187470145</v>
      </c>
      <c r="K10">
        <f t="shared" si="6"/>
        <v>15.326924784851254</v>
      </c>
      <c r="L10">
        <f t="shared" si="6"/>
        <v>1211.717983066535</v>
      </c>
      <c r="M10">
        <f t="shared" si="2"/>
        <v>1237.2871919797672</v>
      </c>
      <c r="N10">
        <f t="shared" si="2"/>
        <v>5213560.2240964891</v>
      </c>
    </row>
    <row r="11" spans="1:16" x14ac:dyDescent="0.2">
      <c r="A11">
        <v>62</v>
      </c>
      <c r="B11">
        <v>154</v>
      </c>
      <c r="C11" s="3">
        <f t="shared" si="7"/>
        <v>32.194001632369705</v>
      </c>
      <c r="D11" s="3">
        <f t="shared" si="7"/>
        <v>1.7009222187470145</v>
      </c>
      <c r="E11" s="3">
        <f t="shared" si="8"/>
        <v>137.6511791946846</v>
      </c>
      <c r="F11" s="3">
        <f t="shared" si="3"/>
        <v>267.28394172431365</v>
      </c>
      <c r="G11" s="7">
        <f t="shared" si="0"/>
        <v>-32.697641610630797</v>
      </c>
      <c r="H11" s="7">
        <f t="shared" si="1"/>
        <v>-2027.2537798591093</v>
      </c>
      <c r="I11" s="3">
        <f t="shared" si="4"/>
        <v>32.158863491896952</v>
      </c>
      <c r="J11" s="3">
        <f t="shared" si="5"/>
        <v>1.5590805888605319</v>
      </c>
      <c r="K11">
        <f t="shared" si="6"/>
        <v>0.91955486620663685</v>
      </c>
      <c r="L11">
        <f t="shared" si="6"/>
        <v>240.02645418884163</v>
      </c>
      <c r="M11">
        <f t="shared" si="2"/>
        <v>1220.4720494715159</v>
      </c>
      <c r="N11">
        <f t="shared" si="2"/>
        <v>5103179.990482145</v>
      </c>
    </row>
    <row r="12" spans="1:16" x14ac:dyDescent="0.2">
      <c r="A12">
        <v>84</v>
      </c>
      <c r="B12">
        <v>198</v>
      </c>
      <c r="C12" s="3">
        <f t="shared" si="7"/>
        <v>32.158863491896952</v>
      </c>
      <c r="D12" s="3">
        <f t="shared" si="7"/>
        <v>1.5590805888605319</v>
      </c>
      <c r="E12" s="3">
        <f t="shared" si="8"/>
        <v>163.12163295618166</v>
      </c>
      <c r="F12" s="3">
        <f t="shared" si="3"/>
        <v>1216.5004876433136</v>
      </c>
      <c r="G12" s="7">
        <f t="shared" si="0"/>
        <v>-69.756734087636687</v>
      </c>
      <c r="H12" s="7">
        <f t="shared" si="1"/>
        <v>-5859.5656633614817</v>
      </c>
      <c r="I12" s="3">
        <f t="shared" si="4"/>
        <v>32.838984638634358</v>
      </c>
      <c r="J12" s="3">
        <f t="shared" si="5"/>
        <v>2.308221432074312</v>
      </c>
      <c r="K12">
        <f t="shared" si="6"/>
        <v>-20.283331819946365</v>
      </c>
      <c r="L12">
        <f t="shared" si="6"/>
        <v>-1589.8511810762557</v>
      </c>
      <c r="M12">
        <f t="shared" si="2"/>
        <v>1585.0250395816897</v>
      </c>
      <c r="N12">
        <f t="shared" si="2"/>
        <v>8026312.9677584181</v>
      </c>
    </row>
    <row r="13" spans="1:16" x14ac:dyDescent="0.2">
      <c r="A13">
        <v>15</v>
      </c>
      <c r="B13">
        <v>60</v>
      </c>
      <c r="C13" s="3">
        <f t="shared" si="7"/>
        <v>32.838984638634358</v>
      </c>
      <c r="D13" s="3">
        <f t="shared" si="7"/>
        <v>2.308221432074312</v>
      </c>
      <c r="E13" s="3">
        <f t="shared" si="8"/>
        <v>67.46230611974903</v>
      </c>
      <c r="F13" s="3">
        <f t="shared" si="3"/>
        <v>55.686012624843826</v>
      </c>
      <c r="G13" s="7">
        <f t="shared" si="0"/>
        <v>14.92461223949806</v>
      </c>
      <c r="H13" s="7">
        <f t="shared" si="1"/>
        <v>223.8691835924709</v>
      </c>
      <c r="I13" s="3">
        <f t="shared" si="4"/>
        <v>33.1799183399825</v>
      </c>
      <c r="J13" s="3">
        <f t="shared" si="5"/>
        <v>2.8274478935697815</v>
      </c>
      <c r="K13">
        <f t="shared" si="6"/>
        <v>-9.7209486021130367</v>
      </c>
      <c r="L13">
        <f t="shared" si="6"/>
        <v>-1045.7350716756378</v>
      </c>
      <c r="M13">
        <f t="shared" si="2"/>
        <v>1448.7969406734583</v>
      </c>
      <c r="N13">
        <f t="shared" si="2"/>
        <v>7228693.4121188121</v>
      </c>
    </row>
    <row r="14" spans="1:16" x14ac:dyDescent="0.2">
      <c r="A14">
        <v>42</v>
      </c>
      <c r="B14">
        <v>114</v>
      </c>
      <c r="C14" s="3">
        <f t="shared" si="7"/>
        <v>33.1799183399825</v>
      </c>
      <c r="D14" s="3">
        <f t="shared" si="7"/>
        <v>2.8274478935697815</v>
      </c>
      <c r="E14" s="3">
        <f t="shared" si="8"/>
        <v>151.93272986991332</v>
      </c>
      <c r="F14" s="3">
        <f t="shared" si="3"/>
        <v>1438.891995383814</v>
      </c>
      <c r="G14" s="7">
        <f t="shared" si="0"/>
        <v>75.865459739826633</v>
      </c>
      <c r="H14" s="7">
        <f t="shared" si="1"/>
        <v>3186.3493090727188</v>
      </c>
      <c r="I14" s="3">
        <f t="shared" si="4"/>
        <v>32.688622622510493</v>
      </c>
      <c r="J14" s="3">
        <f t="shared" si="5"/>
        <v>2.7184647448891694</v>
      </c>
      <c r="K14">
        <f t="shared" si="6"/>
        <v>15.95497390046887</v>
      </c>
      <c r="L14">
        <f t="shared" si="6"/>
        <v>223.89024254886931</v>
      </c>
      <c r="M14">
        <f t="shared" si="2"/>
        <v>1879.474044759638</v>
      </c>
      <c r="N14">
        <f t="shared" si="2"/>
        <v>7521106.26284975</v>
      </c>
    </row>
    <row r="15" spans="1:16" x14ac:dyDescent="0.2">
      <c r="A15">
        <v>62</v>
      </c>
      <c r="B15">
        <v>154</v>
      </c>
      <c r="C15" s="3">
        <f t="shared" si="7"/>
        <v>32.688622622510493</v>
      </c>
      <c r="D15" s="3">
        <f>J14</f>
        <v>2.7184647448891694</v>
      </c>
      <c r="E15" s="3">
        <f t="shared" si="8"/>
        <v>201.23343680563897</v>
      </c>
      <c r="F15" s="3">
        <f t="shared" si="3"/>
        <v>2230.9975524722904</v>
      </c>
      <c r="G15" s="7">
        <f t="shared" si="0"/>
        <v>94.466873611277947</v>
      </c>
      <c r="H15" s="7">
        <f t="shared" si="1"/>
        <v>5856.9461638992325</v>
      </c>
      <c r="I15" s="3">
        <f t="shared" si="4"/>
        <v>31.651055833571128</v>
      </c>
      <c r="J15" s="3">
        <f t="shared" si="5"/>
        <v>1.9184898515584519</v>
      </c>
      <c r="K15">
        <f t="shared" si="6"/>
        <v>39.508543813711597</v>
      </c>
      <c r="L15">
        <f t="shared" si="6"/>
        <v>1913.8070189539785</v>
      </c>
      <c r="M15">
        <f t="shared" si="2"/>
        <v>2583.9256612725903</v>
      </c>
      <c r="N15">
        <f t="shared" si="2"/>
        <v>10199377.473246168</v>
      </c>
    </row>
    <row r="16" spans="1:16" x14ac:dyDescent="0.2">
      <c r="A16">
        <v>47</v>
      </c>
      <c r="B16">
        <v>124</v>
      </c>
      <c r="C16" s="3">
        <f t="shared" si="7"/>
        <v>31.651055833571128</v>
      </c>
      <c r="D16" s="3">
        <f t="shared" si="7"/>
        <v>1.9184898515584519</v>
      </c>
      <c r="E16" s="3">
        <f t="shared" si="8"/>
        <v>121.82007885681836</v>
      </c>
      <c r="F16" s="3">
        <f t="shared" si="3"/>
        <v>4.752056190490368</v>
      </c>
      <c r="G16" s="7">
        <f t="shared" si="0"/>
        <v>-4.3598422863632891</v>
      </c>
      <c r="H16" s="7">
        <f t="shared" si="1"/>
        <v>-204.91258745907459</v>
      </c>
      <c r="I16" s="3">
        <f t="shared" si="4"/>
        <v>30.921977011575589</v>
      </c>
      <c r="J16" s="3">
        <f t="shared" si="5"/>
        <v>1.3554314344362668</v>
      </c>
      <c r="K16">
        <f t="shared" si="6"/>
        <v>26.348027983689128</v>
      </c>
      <c r="L16">
        <f t="shared" si="6"/>
        <v>1278.1911370300625</v>
      </c>
      <c r="M16">
        <f t="shared" si="2"/>
        <v>2327.4339176215276</v>
      </c>
      <c r="N16">
        <f t="shared" si="2"/>
        <v>9183638.6427714694</v>
      </c>
    </row>
    <row r="17" spans="1:14" x14ac:dyDescent="0.2">
      <c r="A17">
        <v>35</v>
      </c>
      <c r="B17">
        <v>100</v>
      </c>
      <c r="C17" s="3">
        <f t="shared" si="7"/>
        <v>30.921977011575589</v>
      </c>
      <c r="D17" s="3">
        <f t="shared" si="7"/>
        <v>1.3554314344362668</v>
      </c>
      <c r="E17" s="3">
        <f t="shared" si="8"/>
        <v>78.362077216844924</v>
      </c>
      <c r="F17" s="3">
        <f t="shared" si="3"/>
        <v>468.19970236978151</v>
      </c>
      <c r="G17" s="7">
        <f t="shared" si="0"/>
        <v>-43.275845566310153</v>
      </c>
      <c r="H17" s="7">
        <f t="shared" si="1"/>
        <v>-1514.6545948208554</v>
      </c>
      <c r="I17" s="3">
        <f t="shared" si="4"/>
        <v>30.769371030223894</v>
      </c>
      <c r="J17" s="3">
        <f t="shared" si="5"/>
        <v>1.1537449466831462</v>
      </c>
      <c r="K17">
        <f t="shared" si="6"/>
        <v>5.4608659186893416</v>
      </c>
      <c r="L17">
        <f t="shared" si="6"/>
        <v>440.337417474787</v>
      </c>
      <c r="M17">
        <f t="shared" si="2"/>
        <v>2281.9704068072874</v>
      </c>
      <c r="N17">
        <f t="shared" si="2"/>
        <v>8494692.6326555163</v>
      </c>
    </row>
    <row r="18" spans="1:14" x14ac:dyDescent="0.2">
      <c r="A18">
        <v>9</v>
      </c>
      <c r="B18">
        <v>48</v>
      </c>
      <c r="C18" s="3">
        <f t="shared" si="7"/>
        <v>30.769371030223894</v>
      </c>
      <c r="D18" s="3">
        <f t="shared" si="7"/>
        <v>1.1537449466831462</v>
      </c>
      <c r="E18" s="3">
        <f t="shared" si="8"/>
        <v>41.153075550372208</v>
      </c>
      <c r="F18" s="3">
        <f t="shared" si="3"/>
        <v>46.880374418910847</v>
      </c>
      <c r="G18" s="7">
        <f t="shared" si="0"/>
        <v>-13.693848899255585</v>
      </c>
      <c r="H18" s="7">
        <f t="shared" si="1"/>
        <v>-123.24464009330026</v>
      </c>
      <c r="I18" s="3">
        <f t="shared" si="4"/>
        <v>30.777744298911035</v>
      </c>
      <c r="J18" s="3">
        <f t="shared" si="5"/>
        <v>1.0227914617886773</v>
      </c>
      <c r="K18">
        <f t="shared" si="6"/>
        <v>-0.28554852669413711</v>
      </c>
      <c r="L18">
        <f t="shared" si="6"/>
        <v>271.26280020436081</v>
      </c>
      <c r="M18">
        <f t="shared" si="2"/>
        <v>2072.5255158941231</v>
      </c>
      <c r="N18">
        <f t="shared" si="2"/>
        <v>7646742.2935211379</v>
      </c>
    </row>
    <row r="19" spans="1:14" x14ac:dyDescent="0.2">
      <c r="A19">
        <v>38</v>
      </c>
      <c r="B19">
        <v>106</v>
      </c>
      <c r="C19" s="3">
        <f t="shared" si="7"/>
        <v>30.777744298911035</v>
      </c>
      <c r="D19" s="3">
        <f t="shared" si="7"/>
        <v>1.0227914617886773</v>
      </c>
      <c r="E19" s="3">
        <f t="shared" si="8"/>
        <v>69.643819846880774</v>
      </c>
      <c r="F19" s="3">
        <f t="shared" si="3"/>
        <v>1321.7718353260602</v>
      </c>
      <c r="G19" s="7">
        <f t="shared" si="0"/>
        <v>-72.712360306238452</v>
      </c>
      <c r="H19" s="7">
        <f t="shared" si="1"/>
        <v>-2763.0696916370612</v>
      </c>
      <c r="I19" s="3">
        <f t="shared" si="4"/>
        <v>31.378358432660253</v>
      </c>
      <c r="J19" s="3">
        <f t="shared" si="5"/>
        <v>1.3313143598341126</v>
      </c>
      <c r="K19">
        <f t="shared" si="6"/>
        <v>-22.013592060557436</v>
      </c>
      <c r="L19">
        <f t="shared" si="6"/>
        <v>-639.03694734806595</v>
      </c>
      <c r="M19">
        <f t="shared" si="2"/>
        <v>2393.9816984351351</v>
      </c>
      <c r="N19">
        <f t="shared" si="2"/>
        <v>7645523.4762533568</v>
      </c>
    </row>
    <row r="20" spans="1:14" x14ac:dyDescent="0.2">
      <c r="A20">
        <v>44</v>
      </c>
      <c r="B20">
        <v>118</v>
      </c>
      <c r="C20" s="3">
        <f t="shared" si="7"/>
        <v>31.378358432660253</v>
      </c>
      <c r="D20" s="3">
        <f t="shared" si="7"/>
        <v>1.3313143598341126</v>
      </c>
      <c r="E20" s="3">
        <f t="shared" si="8"/>
        <v>89.956190265361201</v>
      </c>
      <c r="F20" s="3">
        <f t="shared" si="3"/>
        <v>786.4552644326219</v>
      </c>
      <c r="G20" s="7">
        <f t="shared" si="0"/>
        <v>-56.087619469277598</v>
      </c>
      <c r="H20" s="7">
        <f t="shared" si="1"/>
        <v>-2467.8552566482144</v>
      </c>
      <c r="I20" s="3">
        <f t="shared" si="4"/>
        <v>32.244379368637247</v>
      </c>
      <c r="J20" s="3">
        <f t="shared" si="5"/>
        <v>1.9106422178694253</v>
      </c>
      <c r="K20">
        <f t="shared" si="6"/>
        <v>-32.235800283173489</v>
      </c>
      <c r="L20">
        <f t="shared" si="6"/>
        <v>-1187.6824401381107</v>
      </c>
      <c r="M20">
        <f t="shared" si="2"/>
        <v>2469.16563436467</v>
      </c>
      <c r="N20">
        <f t="shared" si="2"/>
        <v>7490002.0854046438</v>
      </c>
    </row>
    <row r="21" spans="1:14" x14ac:dyDescent="0.2">
      <c r="A21">
        <v>99</v>
      </c>
      <c r="B21">
        <v>228</v>
      </c>
      <c r="C21" s="3">
        <f t="shared" si="7"/>
        <v>32.244379368637247</v>
      </c>
      <c r="D21" s="3">
        <f t="shared" si="7"/>
        <v>1.9106422178694253</v>
      </c>
      <c r="E21" s="3">
        <f t="shared" si="8"/>
        <v>221.39795893771037</v>
      </c>
      <c r="F21" s="3">
        <f t="shared" si="3"/>
        <v>43.586946188158379</v>
      </c>
      <c r="G21" s="7">
        <f t="shared" si="0"/>
        <v>-13.204082124579259</v>
      </c>
      <c r="H21" s="7">
        <f t="shared" si="1"/>
        <v>-1307.2041303333467</v>
      </c>
      <c r="I21" s="3">
        <f t="shared" si="4"/>
        <v>32.992631764743827</v>
      </c>
      <c r="J21" s="3">
        <f t="shared" si="5"/>
        <v>2.5319184590447583</v>
      </c>
      <c r="K21">
        <f t="shared" ref="K21:L32" si="9">K20*$K$1+$L$1*G21</f>
        <v>-26.52628483559522</v>
      </c>
      <c r="L21">
        <f t="shared" si="9"/>
        <v>-1223.5389471966814</v>
      </c>
      <c r="M21">
        <f t="shared" si="2"/>
        <v>2239.6838494034669</v>
      </c>
      <c r="N21">
        <f t="shared" si="2"/>
        <v>6911880.140700236</v>
      </c>
    </row>
    <row r="22" spans="1:14" x14ac:dyDescent="0.2">
      <c r="A22">
        <v>13</v>
      </c>
      <c r="B22">
        <v>56</v>
      </c>
      <c r="C22" s="3">
        <f t="shared" si="7"/>
        <v>32.992631764743827</v>
      </c>
      <c r="D22" s="3">
        <f t="shared" si="7"/>
        <v>2.5319184590447583</v>
      </c>
      <c r="E22" s="3">
        <f t="shared" si="8"/>
        <v>65.907571732325692</v>
      </c>
      <c r="F22" s="3">
        <f t="shared" si="3"/>
        <v>98.159977631179117</v>
      </c>
      <c r="G22" s="7">
        <f t="shared" si="0"/>
        <v>19.815143464651385</v>
      </c>
      <c r="H22" s="7">
        <f t="shared" si="1"/>
        <v>257.596865040468</v>
      </c>
      <c r="I22" s="3">
        <f t="shared" si="4"/>
        <v>33.364383794345684</v>
      </c>
      <c r="J22" s="3">
        <f t="shared" si="5"/>
        <v>2.9487514913837689</v>
      </c>
      <c r="K22">
        <f t="shared" si="9"/>
        <v>-12.623856345521236</v>
      </c>
      <c r="L22">
        <f t="shared" si="9"/>
        <v>-779.19820352553654</v>
      </c>
      <c r="M22">
        <f t="shared" si="2"/>
        <v>2054.9794555155918</v>
      </c>
      <c r="N22">
        <f t="shared" si="2"/>
        <v>6227327.74111808</v>
      </c>
    </row>
    <row r="23" spans="1:14" x14ac:dyDescent="0.2">
      <c r="A23">
        <v>21</v>
      </c>
      <c r="B23">
        <v>72</v>
      </c>
      <c r="C23" s="3">
        <f t="shared" si="7"/>
        <v>33.364383794345684</v>
      </c>
      <c r="D23" s="3">
        <f t="shared" si="7"/>
        <v>2.9487514913837689</v>
      </c>
      <c r="E23" s="3">
        <f t="shared" si="8"/>
        <v>95.28816511340483</v>
      </c>
      <c r="F23" s="3">
        <f t="shared" si="3"/>
        <v>542.33863434920579</v>
      </c>
      <c r="G23" s="7">
        <f t="shared" si="0"/>
        <v>46.57633022680966</v>
      </c>
      <c r="H23" s="7">
        <f t="shared" si="1"/>
        <v>978.10293476300285</v>
      </c>
      <c r="I23" s="3">
        <f t="shared" si="4"/>
        <v>33.213550240977874</v>
      </c>
      <c r="J23" s="3">
        <f t="shared" si="5"/>
        <v>3.0896582000362729</v>
      </c>
      <c r="K23">
        <f t="shared" si="9"/>
        <v>5.1361996261780352</v>
      </c>
      <c r="L23">
        <f t="shared" si="9"/>
        <v>-252.00786203897462</v>
      </c>
      <c r="M23">
        <f t="shared" si="2"/>
        <v>2066.4169637037148</v>
      </c>
      <c r="N23">
        <f t="shared" si="2"/>
        <v>5700263.5021054717</v>
      </c>
    </row>
    <row r="24" spans="1:14" x14ac:dyDescent="0.2">
      <c r="A24">
        <v>28</v>
      </c>
      <c r="B24">
        <v>86</v>
      </c>
      <c r="C24" s="3">
        <f t="shared" si="7"/>
        <v>33.213550240977874</v>
      </c>
      <c r="D24" s="3">
        <f t="shared" si="7"/>
        <v>3.0896582000362729</v>
      </c>
      <c r="E24" s="3">
        <f t="shared" si="8"/>
        <v>119.72397984199353</v>
      </c>
      <c r="F24" s="3">
        <f t="shared" si="3"/>
        <v>1137.3068163831856</v>
      </c>
      <c r="G24" s="7">
        <f t="shared" si="0"/>
        <v>67.447959683987051</v>
      </c>
      <c r="H24" s="7">
        <f t="shared" si="1"/>
        <v>1888.5428711516374</v>
      </c>
      <c r="I24" s="3">
        <f t="shared" si="4"/>
        <v>32.552343979263028</v>
      </c>
      <c r="J24" s="3">
        <f t="shared" si="5"/>
        <v>2.867305984334251</v>
      </c>
      <c r="K24">
        <f t="shared" si="9"/>
        <v>23.829727643520744</v>
      </c>
      <c r="L24">
        <f t="shared" si="9"/>
        <v>390.15735791820913</v>
      </c>
      <c r="M24">
        <f t="shared" si="2"/>
        <v>2314.6979938866175</v>
      </c>
      <c r="N24">
        <f t="shared" si="2"/>
        <v>5486896.5695126913</v>
      </c>
    </row>
    <row r="25" spans="1:14" x14ac:dyDescent="0.2">
      <c r="A25">
        <v>20</v>
      </c>
      <c r="B25">
        <v>70</v>
      </c>
      <c r="C25" s="3">
        <f t="shared" si="7"/>
        <v>32.552343979263028</v>
      </c>
      <c r="D25" s="3">
        <f t="shared" si="7"/>
        <v>2.867305984334251</v>
      </c>
      <c r="E25" s="3">
        <f t="shared" si="8"/>
        <v>89.898463665948043</v>
      </c>
      <c r="F25" s="3">
        <f t="shared" si="3"/>
        <v>395.94885626505442</v>
      </c>
      <c r="G25" s="7">
        <f t="shared" si="0"/>
        <v>39.796927331896086</v>
      </c>
      <c r="H25" s="7">
        <f t="shared" si="1"/>
        <v>795.93854663792172</v>
      </c>
      <c r="I25" s="3">
        <f t="shared" si="4"/>
        <v>31.745381836079474</v>
      </c>
      <c r="J25" s="3">
        <f t="shared" si="5"/>
        <v>2.561750234578879</v>
      </c>
      <c r="K25">
        <f t="shared" si="9"/>
        <v>28.619887550033347</v>
      </c>
      <c r="L25">
        <f t="shared" si="9"/>
        <v>511.89171453412291</v>
      </c>
      <c r="M25">
        <f t="shared" si="2"/>
        <v>2241.6077370039775</v>
      </c>
      <c r="N25">
        <f t="shared" si="2"/>
        <v>5001558.7295638314</v>
      </c>
    </row>
    <row r="26" spans="1:14" x14ac:dyDescent="0.2">
      <c r="A26">
        <v>8</v>
      </c>
      <c r="B26">
        <v>46</v>
      </c>
      <c r="C26" s="3">
        <f t="shared" si="7"/>
        <v>31.745381836079474</v>
      </c>
      <c r="D26" s="3">
        <f t="shared" si="7"/>
        <v>2.561750234578879</v>
      </c>
      <c r="E26" s="3">
        <f t="shared" si="8"/>
        <v>52.239383712710506</v>
      </c>
      <c r="F26" s="3">
        <f t="shared" si="3"/>
        <v>38.929909114437137</v>
      </c>
      <c r="G26" s="7">
        <f t="shared" si="0"/>
        <v>12.478767425421012</v>
      </c>
      <c r="H26" s="7">
        <f t="shared" si="1"/>
        <v>99.830139403368094</v>
      </c>
      <c r="I26" s="3">
        <f t="shared" si="4"/>
        <v>31.041399978582938</v>
      </c>
      <c r="J26" s="3">
        <f t="shared" si="5"/>
        <v>2.3174744050738272</v>
      </c>
      <c r="K26">
        <f t="shared" si="9"/>
        <v>23.777551512649648</v>
      </c>
      <c r="L26">
        <f t="shared" si="9"/>
        <v>388.27324199489647</v>
      </c>
      <c r="M26">
        <f t="shared" si="2"/>
        <v>2033.0189269493546</v>
      </c>
      <c r="N26">
        <f t="shared" si="2"/>
        <v>4502399.4622807782</v>
      </c>
    </row>
    <row r="27" spans="1:14" x14ac:dyDescent="0.2">
      <c r="A27">
        <v>64</v>
      </c>
      <c r="B27">
        <v>158</v>
      </c>
      <c r="C27" s="3">
        <f t="shared" si="7"/>
        <v>31.041399978582938</v>
      </c>
      <c r="D27" s="3">
        <f t="shared" si="7"/>
        <v>2.3174744050738272</v>
      </c>
      <c r="E27" s="3">
        <f t="shared" si="8"/>
        <v>179.35976190330788</v>
      </c>
      <c r="F27" s="3">
        <f t="shared" si="3"/>
        <v>456.23942856600286</v>
      </c>
      <c r="G27" s="7">
        <f t="shared" si="0"/>
        <v>42.719523806615769</v>
      </c>
      <c r="H27" s="7">
        <f t="shared" si="1"/>
        <v>2734.0495236234092</v>
      </c>
      <c r="I27" s="3">
        <f t="shared" si="4"/>
        <v>30.16467587646515</v>
      </c>
      <c r="J27" s="3">
        <f t="shared" si="5"/>
        <v>1.652071357931824</v>
      </c>
      <c r="K27">
        <f t="shared" si="9"/>
        <v>29.460143200839486</v>
      </c>
      <c r="L27">
        <f t="shared" si="9"/>
        <v>1092.0061264834503</v>
      </c>
      <c r="M27">
        <f t="shared" si="2"/>
        <v>2012.2128056808201</v>
      </c>
      <c r="N27">
        <f t="shared" si="2"/>
        <v>4799662.1958152391</v>
      </c>
    </row>
    <row r="28" spans="1:14" x14ac:dyDescent="0.2">
      <c r="A28">
        <v>99</v>
      </c>
      <c r="B28">
        <v>228</v>
      </c>
      <c r="C28" s="3">
        <f t="shared" si="7"/>
        <v>30.16467587646515</v>
      </c>
      <c r="D28" s="3">
        <f t="shared" si="7"/>
        <v>1.652071357931824</v>
      </c>
      <c r="E28" s="3">
        <f t="shared" si="8"/>
        <v>193.71974031171573</v>
      </c>
      <c r="F28" s="3">
        <f t="shared" si="3"/>
        <v>1175.136204296208</v>
      </c>
      <c r="G28" s="7">
        <f t="shared" si="0"/>
        <v>-68.56051937656855</v>
      </c>
      <c r="H28" s="7">
        <f t="shared" si="1"/>
        <v>-6787.4914182802868</v>
      </c>
      <c r="I28" s="3">
        <f t="shared" si="4"/>
        <v>30.163168073428476</v>
      </c>
      <c r="J28" s="3">
        <f t="shared" si="5"/>
        <v>2.220339263518361</v>
      </c>
      <c r="K28">
        <f t="shared" si="9"/>
        <v>5.3944427617071966E-2</v>
      </c>
      <c r="L28">
        <f t="shared" si="9"/>
        <v>-1271.8431369456712</v>
      </c>
      <c r="M28">
        <f t="shared" si="2"/>
        <v>2281.0460068312213</v>
      </c>
      <c r="N28">
        <f t="shared" si="2"/>
        <v>8926699.9515565671</v>
      </c>
    </row>
    <row r="29" spans="1:14" x14ac:dyDescent="0.2">
      <c r="A29">
        <v>70</v>
      </c>
      <c r="B29">
        <v>170</v>
      </c>
      <c r="C29" s="3">
        <f t="shared" si="7"/>
        <v>30.163168073428476</v>
      </c>
      <c r="D29" s="3">
        <f t="shared" si="7"/>
        <v>2.220339263518361</v>
      </c>
      <c r="E29" s="3">
        <f t="shared" si="8"/>
        <v>185.58691651971372</v>
      </c>
      <c r="F29" s="3">
        <f t="shared" si="3"/>
        <v>242.95196659252463</v>
      </c>
      <c r="G29" s="7">
        <f t="shared" si="0"/>
        <v>31.17383303942745</v>
      </c>
      <c r="H29" s="7">
        <f t="shared" si="1"/>
        <v>2182.1683127599217</v>
      </c>
      <c r="I29" s="3">
        <f t="shared" si="4"/>
        <v>29.892837632862918</v>
      </c>
      <c r="J29" s="3">
        <f t="shared" si="5"/>
        <v>2.3281701622243456</v>
      </c>
      <c r="K29">
        <f t="shared" si="9"/>
        <v>9.3899110111601871</v>
      </c>
      <c r="L29">
        <f t="shared" si="9"/>
        <v>-235.63970203399322</v>
      </c>
      <c r="M29">
        <f t="shared" si="2"/>
        <v>2150.1221927851093</v>
      </c>
      <c r="N29">
        <f t="shared" si="2"/>
        <v>8510215.8109222595</v>
      </c>
    </row>
    <row r="30" spans="1:14" x14ac:dyDescent="0.2">
      <c r="A30">
        <v>27</v>
      </c>
      <c r="B30">
        <v>84</v>
      </c>
      <c r="C30" s="3">
        <f t="shared" si="7"/>
        <v>29.892837632862918</v>
      </c>
      <c r="D30" s="3">
        <f t="shared" si="7"/>
        <v>2.3281701622243456</v>
      </c>
      <c r="E30" s="3">
        <f t="shared" si="8"/>
        <v>92.753432012920243</v>
      </c>
      <c r="F30" s="3">
        <f t="shared" si="3"/>
        <v>76.622572004816931</v>
      </c>
      <c r="G30" s="7">
        <f t="shared" si="0"/>
        <v>17.506864025840486</v>
      </c>
      <c r="H30" s="7">
        <f t="shared" si="1"/>
        <v>472.68532869769308</v>
      </c>
      <c r="I30" s="3">
        <f t="shared" si="4"/>
        <v>29.536795867128934</v>
      </c>
      <c r="J30" s="3">
        <f t="shared" si="5"/>
        <v>2.3393168408619092</v>
      </c>
      <c r="K30">
        <f t="shared" si="9"/>
        <v>11.824996915564277</v>
      </c>
      <c r="L30">
        <f t="shared" si="9"/>
        <v>-23.142192814487316</v>
      </c>
      <c r="M30">
        <f t="shared" si="2"/>
        <v>1965.7590023085252</v>
      </c>
      <c r="N30">
        <f t="shared" si="2"/>
        <v>7681537.3718266385</v>
      </c>
    </row>
    <row r="31" spans="1:14" x14ac:dyDescent="0.2">
      <c r="A31">
        <v>17</v>
      </c>
      <c r="B31">
        <v>64</v>
      </c>
      <c r="C31" s="3">
        <f t="shared" si="7"/>
        <v>29.536795867128934</v>
      </c>
      <c r="D31" s="3">
        <f t="shared" si="7"/>
        <v>2.3393168408619092</v>
      </c>
      <c r="E31" s="3">
        <f t="shared" si="8"/>
        <v>69.305182161781389</v>
      </c>
      <c r="F31" s="3">
        <f t="shared" si="3"/>
        <v>28.144957769683447</v>
      </c>
      <c r="G31" s="7">
        <f t="shared" si="0"/>
        <v>10.610364323562777</v>
      </c>
      <c r="H31" s="7">
        <f t="shared" si="1"/>
        <v>180.37619350056721</v>
      </c>
      <c r="I31" s="3">
        <f t="shared" si="4"/>
        <v>29.174211672900675</v>
      </c>
      <c r="J31" s="3">
        <f t="shared" si="5"/>
        <v>2.3200722181776232</v>
      </c>
      <c r="K31">
        <f t="shared" si="9"/>
        <v>11.460607137963827</v>
      </c>
      <c r="L31">
        <f t="shared" si="9"/>
        <v>37.913323080029059</v>
      </c>
      <c r="M31">
        <f t="shared" si="2"/>
        <v>1780.4410851855459</v>
      </c>
      <c r="N31">
        <f t="shared" si="2"/>
        <v>6916637.1917621503</v>
      </c>
    </row>
    <row r="32" spans="1:14" x14ac:dyDescent="0.2">
      <c r="A32">
        <v>8</v>
      </c>
      <c r="B32">
        <v>46</v>
      </c>
      <c r="C32" s="3">
        <f t="shared" si="7"/>
        <v>29.174211672900675</v>
      </c>
      <c r="D32" s="3">
        <f t="shared" si="7"/>
        <v>2.3200722181776232</v>
      </c>
      <c r="E32" s="3">
        <f t="shared" si="8"/>
        <v>47.734789418321661</v>
      </c>
      <c r="F32" s="3">
        <f t="shared" si="3"/>
        <v>3.0094943259208069</v>
      </c>
      <c r="G32" s="7">
        <f t="shared" si="0"/>
        <v>3.469578836643322</v>
      </c>
      <c r="H32" s="7">
        <f t="shared" si="1"/>
        <v>27.756630693146576</v>
      </c>
      <c r="I32" s="3">
        <f t="shared" si="4"/>
        <v>28.872075162566954</v>
      </c>
      <c r="J32" s="3">
        <f t="shared" si="5"/>
        <v>2.3014170288630362</v>
      </c>
      <c r="K32">
        <f t="shared" si="9"/>
        <v>9.0632986475676738</v>
      </c>
      <c r="L32">
        <f t="shared" si="9"/>
        <v>34.866315363964318</v>
      </c>
      <c r="M32">
        <f t="shared" si="2"/>
        <v>1603.6007743973596</v>
      </c>
      <c r="N32">
        <f t="shared" si="2"/>
        <v>6225050.5156406788</v>
      </c>
    </row>
    <row r="33" spans="1:16" x14ac:dyDescent="0.2">
      <c r="A33" s="7"/>
      <c r="B33" s="7"/>
      <c r="E33" s="5" t="s">
        <v>25</v>
      </c>
      <c r="F33" s="5">
        <f>SQRT(SUM(F4:F32))</f>
        <v>121.42400171949679</v>
      </c>
      <c r="I33" s="3"/>
      <c r="K33">
        <v>-2.5942163513307364</v>
      </c>
      <c r="L33">
        <v>-106.89640288854068</v>
      </c>
      <c r="M33" s="7">
        <v>751.00449153420504</v>
      </c>
      <c r="N33" s="7">
        <v>3487763.6463812324</v>
      </c>
      <c r="P33" s="10"/>
    </row>
    <row r="34" spans="1:16" x14ac:dyDescent="0.2">
      <c r="E34" s="5" t="s">
        <v>26</v>
      </c>
      <c r="F34" s="5">
        <v>83.970982939900779</v>
      </c>
    </row>
    <row r="35" spans="1:16" x14ac:dyDescent="0.2">
      <c r="E35" s="5" t="s">
        <v>27</v>
      </c>
      <c r="F35" s="5">
        <v>65.740292741703129</v>
      </c>
    </row>
    <row r="36" spans="1:16" x14ac:dyDescent="0.2">
      <c r="E36" s="5" t="s">
        <v>28</v>
      </c>
      <c r="F36" s="7">
        <f>ABS(ft_1-ft_2)/MIN(ft_1,ft_2)</f>
        <v>0.27731379703201103</v>
      </c>
    </row>
    <row r="37" spans="1:16" x14ac:dyDescent="0.2">
      <c r="E37" s="5" t="s">
        <v>29</v>
      </c>
      <c r="F37" s="7">
        <v>0.80151140615663596</v>
      </c>
      <c r="H37" s="7" t="s">
        <v>24</v>
      </c>
    </row>
    <row r="38" spans="1:16" x14ac:dyDescent="0.2">
      <c r="E38" s="5" t="s">
        <v>30</v>
      </c>
      <c r="F38" s="7">
        <f>dt_1*H38+(1-H38)*rtee</f>
        <v>0.74909164524417349</v>
      </c>
      <c r="H38" s="7">
        <v>0.9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7889" r:id="rId3" name="Button 1">
              <controlPr defaultSize="0" print="0" autoFill="0" autoPict="0" macro="[0]!eve.reset">
                <anchor moveWithCells="1">
                  <from>
                    <xdr:col>0</xdr:col>
                    <xdr:colOff>12700</xdr:colOff>
                    <xdr:row>0</xdr:row>
                    <xdr:rowOff>12700</xdr:rowOff>
                  </from>
                  <to>
                    <xdr:col>0</xdr:col>
                    <xdr:colOff>635000</xdr:colOff>
                    <xdr:row>0</xdr:row>
                    <xdr:rowOff>177800</xdr:rowOff>
                  </to>
                </anchor>
              </controlPr>
            </control>
          </mc:Choice>
          <mc:Fallback/>
        </mc:AlternateContent>
        <mc:AlternateContent xmlns:mc="http://schemas.openxmlformats.org/markup-compatibility/2006">
          <mc:Choice Requires="x14">
            <control shapeId="37890" r:id="rId4" name="Button 2">
              <controlPr defaultSize="0" print="0" autoFill="0" autoPict="0" macro="[0]!eve.somesteps">
                <anchor moveWithCells="1">
                  <from>
                    <xdr:col>0</xdr:col>
                    <xdr:colOff>12700</xdr:colOff>
                    <xdr:row>1</xdr:row>
                    <xdr:rowOff>12700</xdr:rowOff>
                  </from>
                  <to>
                    <xdr:col>0</xdr:col>
                    <xdr:colOff>635000</xdr:colOff>
                    <xdr:row>1</xdr:row>
                    <xdr:rowOff>177800</xdr:rowOff>
                  </to>
                </anchor>
              </controlPr>
            </control>
          </mc:Choice>
          <mc:Fallback/>
        </mc:AlternateContent>
      </controls>
    </mc:Choice>
    <mc:Fallback/>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nnealing" enableFormatConditionsCalculation="0"/>
  <dimension ref="A1:J33"/>
  <sheetViews>
    <sheetView zoomScale="120" zoomScaleNormal="120" workbookViewId="0">
      <selection activeCell="J1" sqref="J1"/>
    </sheetView>
  </sheetViews>
  <sheetFormatPr baseColWidth="10" defaultColWidth="8.83203125" defaultRowHeight="15" x14ac:dyDescent="0.2"/>
  <cols>
    <col min="1" max="1" width="9.6640625" customWidth="1"/>
    <col min="2" max="2" width="3.83203125" bestFit="1" customWidth="1"/>
    <col min="3" max="5" width="8.83203125" style="5"/>
    <col min="6" max="6" width="9" bestFit="1" customWidth="1"/>
    <col min="7" max="7" width="12.83203125" customWidth="1"/>
    <col min="8" max="8" width="13.1640625" customWidth="1"/>
    <col min="9" max="9" width="9" bestFit="1" customWidth="1"/>
  </cols>
  <sheetData>
    <row r="1" spans="1:10" x14ac:dyDescent="0.2">
      <c r="B1" t="s">
        <v>21</v>
      </c>
      <c r="C1" s="5">
        <v>29.406245790980623</v>
      </c>
      <c r="D1" s="5" t="s">
        <v>14</v>
      </c>
      <c r="F1">
        <v>0.27585466085056881</v>
      </c>
      <c r="G1">
        <v>16.186122587302258</v>
      </c>
      <c r="H1">
        <v>100</v>
      </c>
      <c r="J1">
        <v>8.1502795969492121E-3</v>
      </c>
    </row>
    <row r="2" spans="1:10" x14ac:dyDescent="0.2">
      <c r="B2" t="s">
        <v>22</v>
      </c>
      <c r="C2" s="5">
        <v>2.0217110111321754</v>
      </c>
      <c r="D2">
        <v>3.90625E-3</v>
      </c>
      <c r="F2">
        <f>$D$2/F1</f>
        <v>1.4160536522948314E-2</v>
      </c>
      <c r="G2">
        <f>$D$2/G1</f>
        <v>2.4133327663441694E-4</v>
      </c>
    </row>
    <row r="3" spans="1:10" s="2" customFormat="1" x14ac:dyDescent="0.2">
      <c r="A3" s="2" t="s">
        <v>15</v>
      </c>
      <c r="B3" s="2" t="s">
        <v>16</v>
      </c>
      <c r="C3" s="6" t="s">
        <v>21</v>
      </c>
      <c r="D3" s="6" t="s">
        <v>22</v>
      </c>
      <c r="E3" s="6" t="s">
        <v>18</v>
      </c>
      <c r="F3" s="2" t="s">
        <v>6</v>
      </c>
      <c r="G3" s="2" t="s">
        <v>9</v>
      </c>
      <c r="H3" s="2" t="s">
        <v>12</v>
      </c>
      <c r="I3" s="2" t="s">
        <v>13</v>
      </c>
    </row>
    <row r="4" spans="1:10" x14ac:dyDescent="0.2">
      <c r="A4">
        <v>14</v>
      </c>
      <c r="B4">
        <v>58</v>
      </c>
      <c r="C4" s="5">
        <f>C1</f>
        <v>29.406245790980623</v>
      </c>
      <c r="D4" s="5">
        <f>C2</f>
        <v>2.0217110111321754</v>
      </c>
      <c r="E4" s="5">
        <f>C4+D4*A4</f>
        <v>57.710199946831082</v>
      </c>
      <c r="F4" s="3">
        <f t="shared" ref="F4:F32" si="0">2*(D4*A4+C4-B4)</f>
        <v>-0.57960010633783554</v>
      </c>
      <c r="G4" s="3">
        <f t="shared" ref="G4:G32" si="1">F4*A4</f>
        <v>-8.1144014887296976</v>
      </c>
      <c r="H4" s="3">
        <f t="shared" ref="H4:H32" si="2">D4-G4*$G$2</f>
        <v>2.0236692862313777</v>
      </c>
      <c r="I4" s="3">
        <f t="shared" ref="I4:I32" si="3">C4-F4*$F$2</f>
        <v>29.414453239455124</v>
      </c>
    </row>
    <row r="5" spans="1:10" x14ac:dyDescent="0.2">
      <c r="A5">
        <v>86</v>
      </c>
      <c r="B5">
        <v>202</v>
      </c>
      <c r="C5" s="5">
        <f>I4</f>
        <v>29.414453239455124</v>
      </c>
      <c r="D5" s="5">
        <f>H4</f>
        <v>2.0236692862313777</v>
      </c>
      <c r="E5" s="5">
        <f>C5+D5*A5</f>
        <v>203.45001185535361</v>
      </c>
      <c r="F5" s="3">
        <f t="shared" si="0"/>
        <v>2.9000237107072167</v>
      </c>
      <c r="G5" s="3">
        <f t="shared" si="1"/>
        <v>249.40203912082063</v>
      </c>
      <c r="H5" s="3">
        <f t="shared" si="2"/>
        <v>1.9634802749310449</v>
      </c>
      <c r="I5" s="3">
        <f t="shared" si="3"/>
        <v>29.373387347782238</v>
      </c>
    </row>
    <row r="6" spans="1:10" x14ac:dyDescent="0.2">
      <c r="A6">
        <v>28</v>
      </c>
      <c r="B6">
        <v>86</v>
      </c>
      <c r="C6" s="5">
        <f>I5</f>
        <v>29.373387347782238</v>
      </c>
      <c r="D6" s="5">
        <f>H5</f>
        <v>1.9634802749310449</v>
      </c>
      <c r="E6" s="5">
        <f>C6+D6*A6</f>
        <v>84.350835045851497</v>
      </c>
      <c r="F6" s="3">
        <f t="shared" si="0"/>
        <v>-3.2983299082970063</v>
      </c>
      <c r="G6" s="3">
        <f t="shared" si="1"/>
        <v>-92.353237432316178</v>
      </c>
      <c r="H6" s="3">
        <f t="shared" si="2"/>
        <v>1.9857681843283821</v>
      </c>
      <c r="I6" s="3">
        <f t="shared" si="3"/>
        <v>29.420093468913411</v>
      </c>
    </row>
    <row r="7" spans="1:10" x14ac:dyDescent="0.2">
      <c r="A7">
        <v>51</v>
      </c>
      <c r="B7">
        <v>132</v>
      </c>
      <c r="C7" s="5">
        <f t="shared" ref="C7:C32" si="4">I6</f>
        <v>29.420093468913411</v>
      </c>
      <c r="D7" s="5">
        <f t="shared" ref="D7:D32" si="5">H6</f>
        <v>1.9857681843283821</v>
      </c>
      <c r="E7" s="5">
        <f t="shared" ref="E7:E32" si="6">C7+D7*A7</f>
        <v>130.6942708696609</v>
      </c>
      <c r="F7" s="3">
        <f t="shared" si="0"/>
        <v>-2.6114582606782051</v>
      </c>
      <c r="G7" s="3">
        <f t="shared" si="1"/>
        <v>-133.18437129458846</v>
      </c>
      <c r="H7" s="3">
        <f t="shared" si="2"/>
        <v>2.0179100050494001</v>
      </c>
      <c r="I7" s="3">
        <f t="shared" si="3"/>
        <v>29.4570731189919</v>
      </c>
    </row>
    <row r="8" spans="1:10" x14ac:dyDescent="0.2">
      <c r="A8">
        <v>28</v>
      </c>
      <c r="B8">
        <v>86</v>
      </c>
      <c r="C8" s="5">
        <f t="shared" si="4"/>
        <v>29.4570731189919</v>
      </c>
      <c r="D8" s="5">
        <f t="shared" si="5"/>
        <v>2.0179100050494001</v>
      </c>
      <c r="E8" s="5">
        <f t="shared" si="6"/>
        <v>85.958553260375112</v>
      </c>
      <c r="F8" s="3">
        <f t="shared" si="0"/>
        <v>-8.2893479249776192E-2</v>
      </c>
      <c r="G8" s="3">
        <f t="shared" si="1"/>
        <v>-2.3210174189937334</v>
      </c>
      <c r="H8" s="3">
        <f t="shared" si="2"/>
        <v>2.0184701437882513</v>
      </c>
      <c r="I8" s="3">
        <f t="shared" si="3"/>
        <v>29.45824693513233</v>
      </c>
    </row>
    <row r="9" spans="1:10" x14ac:dyDescent="0.2">
      <c r="A9">
        <v>29</v>
      </c>
      <c r="B9">
        <v>88</v>
      </c>
      <c r="C9" s="5">
        <f t="shared" si="4"/>
        <v>29.45824693513233</v>
      </c>
      <c r="D9" s="5">
        <f t="shared" si="5"/>
        <v>2.0184701437882513</v>
      </c>
      <c r="E9" s="5">
        <f t="shared" si="6"/>
        <v>87.993881104991615</v>
      </c>
      <c r="F9" s="3">
        <f t="shared" si="0"/>
        <v>-1.2237790016769168E-2</v>
      </c>
      <c r="G9" s="3">
        <f t="shared" si="1"/>
        <v>-0.35489591048630587</v>
      </c>
      <c r="H9" s="3">
        <f t="shared" si="2"/>
        <v>2.0185557919811932</v>
      </c>
      <c r="I9" s="3">
        <f t="shared" si="3"/>
        <v>29.458420228804822</v>
      </c>
    </row>
    <row r="10" spans="1:10" x14ac:dyDescent="0.2">
      <c r="A10">
        <v>72</v>
      </c>
      <c r="B10">
        <v>174</v>
      </c>
      <c r="C10" s="5">
        <f t="shared" si="4"/>
        <v>29.458420228804822</v>
      </c>
      <c r="D10" s="5">
        <f t="shared" si="5"/>
        <v>2.0185557919811932</v>
      </c>
      <c r="E10" s="5">
        <f t="shared" si="6"/>
        <v>174.79443725145072</v>
      </c>
      <c r="F10" s="3">
        <f t="shared" si="0"/>
        <v>1.5888745029014331</v>
      </c>
      <c r="G10" s="3">
        <f t="shared" si="1"/>
        <v>114.39896420890318</v>
      </c>
      <c r="H10" s="3">
        <f t="shared" si="2"/>
        <v>1.9909475151050753</v>
      </c>
      <c r="I10" s="3">
        <f t="shared" si="3"/>
        <v>29.435920913376105</v>
      </c>
    </row>
    <row r="11" spans="1:10" x14ac:dyDescent="0.2">
      <c r="A11">
        <v>62</v>
      </c>
      <c r="B11">
        <v>154</v>
      </c>
      <c r="C11" s="5">
        <f t="shared" si="4"/>
        <v>29.435920913376105</v>
      </c>
      <c r="D11" s="5">
        <f t="shared" si="5"/>
        <v>1.9909475151050753</v>
      </c>
      <c r="E11" s="5">
        <f t="shared" si="6"/>
        <v>152.87466684989076</v>
      </c>
      <c r="F11" s="3">
        <f t="shared" si="0"/>
        <v>-2.2506663002184837</v>
      </c>
      <c r="G11" s="3">
        <f t="shared" si="1"/>
        <v>-139.54131061354599</v>
      </c>
      <c r="H11" s="3">
        <f t="shared" si="2"/>
        <v>2.0246234768213034</v>
      </c>
      <c r="I11" s="3">
        <f t="shared" si="3"/>
        <v>29.467791555721316</v>
      </c>
    </row>
    <row r="12" spans="1:10" x14ac:dyDescent="0.2">
      <c r="A12">
        <v>84</v>
      </c>
      <c r="B12">
        <v>198</v>
      </c>
      <c r="C12" s="5">
        <f t="shared" si="4"/>
        <v>29.467791555721316</v>
      </c>
      <c r="D12" s="5">
        <f t="shared" si="5"/>
        <v>2.0246234768213034</v>
      </c>
      <c r="E12" s="5">
        <f t="shared" si="6"/>
        <v>199.53616360871078</v>
      </c>
      <c r="F12" s="3">
        <f t="shared" si="0"/>
        <v>3.0723272174215595</v>
      </c>
      <c r="G12" s="3">
        <f t="shared" si="1"/>
        <v>258.07548626341099</v>
      </c>
      <c r="H12" s="3">
        <f t="shared" si="2"/>
        <v>1.9623412741023341</v>
      </c>
      <c r="I12" s="3">
        <f t="shared" si="3"/>
        <v>29.42428575394857</v>
      </c>
    </row>
    <row r="13" spans="1:10" x14ac:dyDescent="0.2">
      <c r="A13">
        <v>15</v>
      </c>
      <c r="B13">
        <v>60</v>
      </c>
      <c r="C13" s="5">
        <f t="shared" si="4"/>
        <v>29.42428575394857</v>
      </c>
      <c r="D13" s="5">
        <f t="shared" si="5"/>
        <v>1.9623412741023341</v>
      </c>
      <c r="E13" s="5">
        <f t="shared" si="6"/>
        <v>58.859404865483583</v>
      </c>
      <c r="F13" s="3">
        <f t="shared" si="0"/>
        <v>-2.2811902690328338</v>
      </c>
      <c r="G13" s="3">
        <f t="shared" si="1"/>
        <v>-34.217854035492508</v>
      </c>
      <c r="H13" s="3">
        <f t="shared" si="2"/>
        <v>1.9705991809361176</v>
      </c>
      <c r="I13" s="3">
        <f t="shared" si="3"/>
        <v>29.456588632069003</v>
      </c>
    </row>
    <row r="14" spans="1:10" x14ac:dyDescent="0.2">
      <c r="A14">
        <v>42</v>
      </c>
      <c r="B14">
        <v>114</v>
      </c>
      <c r="C14" s="5">
        <f t="shared" si="4"/>
        <v>29.456588632069003</v>
      </c>
      <c r="D14" s="5">
        <f t="shared" si="5"/>
        <v>1.9705991809361176</v>
      </c>
      <c r="E14" s="5">
        <f t="shared" si="6"/>
        <v>112.22175423138594</v>
      </c>
      <c r="F14" s="3">
        <f t="shared" si="0"/>
        <v>-3.5564915372281121</v>
      </c>
      <c r="G14" s="3">
        <f t="shared" si="1"/>
        <v>-149.37264456358071</v>
      </c>
      <c r="H14" s="3">
        <f t="shared" si="2"/>
        <v>2.0066477706881947</v>
      </c>
      <c r="I14" s="3">
        <f t="shared" si="3"/>
        <v>29.506950460375478</v>
      </c>
    </row>
    <row r="15" spans="1:10" x14ac:dyDescent="0.2">
      <c r="A15">
        <v>62</v>
      </c>
      <c r="B15">
        <v>154</v>
      </c>
      <c r="C15" s="5">
        <f>I14</f>
        <v>29.506950460375478</v>
      </c>
      <c r="D15" s="5">
        <f>H14</f>
        <v>2.0066477706881947</v>
      </c>
      <c r="E15" s="5">
        <f t="shared" si="6"/>
        <v>153.91911224304354</v>
      </c>
      <c r="F15" s="3">
        <f t="shared" si="0"/>
        <v>-0.16177551391291445</v>
      </c>
      <c r="G15" s="3">
        <f t="shared" si="1"/>
        <v>-10.030081862600696</v>
      </c>
      <c r="H15" s="3">
        <f t="shared" si="2"/>
        <v>2.0090683632090074</v>
      </c>
      <c r="I15" s="3">
        <f t="shared" si="3"/>
        <v>29.509241288448759</v>
      </c>
    </row>
    <row r="16" spans="1:10" x14ac:dyDescent="0.2">
      <c r="A16">
        <v>47</v>
      </c>
      <c r="B16">
        <v>124</v>
      </c>
      <c r="C16" s="5">
        <f t="shared" si="4"/>
        <v>29.509241288448759</v>
      </c>
      <c r="D16" s="5">
        <f t="shared" si="5"/>
        <v>2.0090683632090074</v>
      </c>
      <c r="E16" s="5">
        <f t="shared" si="6"/>
        <v>123.93545435927211</v>
      </c>
      <c r="F16" s="3">
        <f t="shared" si="0"/>
        <v>-0.12909128145577142</v>
      </c>
      <c r="G16" s="3">
        <f t="shared" si="1"/>
        <v>-6.0672902284212569</v>
      </c>
      <c r="H16" s="3">
        <f t="shared" si="2"/>
        <v>2.0105326022401244</v>
      </c>
      <c r="I16" s="3">
        <f t="shared" si="3"/>
        <v>29.511069290254607</v>
      </c>
    </row>
    <row r="17" spans="1:9" x14ac:dyDescent="0.2">
      <c r="A17">
        <v>35</v>
      </c>
      <c r="B17">
        <v>100</v>
      </c>
      <c r="C17" s="5">
        <f t="shared" si="4"/>
        <v>29.511069290254607</v>
      </c>
      <c r="D17" s="5">
        <f t="shared" si="5"/>
        <v>2.0105326022401244</v>
      </c>
      <c r="E17" s="5">
        <f t="shared" si="6"/>
        <v>99.879710368658962</v>
      </c>
      <c r="F17" s="3">
        <f t="shared" si="0"/>
        <v>-0.24057926268207552</v>
      </c>
      <c r="G17" s="3">
        <f t="shared" si="1"/>
        <v>-8.4202741938726433</v>
      </c>
      <c r="H17" s="3">
        <f t="shared" si="2"/>
        <v>2.0125646946014921</v>
      </c>
      <c r="I17" s="3">
        <f t="shared" si="3"/>
        <v>29.514476021690481</v>
      </c>
    </row>
    <row r="18" spans="1:9" x14ac:dyDescent="0.2">
      <c r="A18">
        <v>9</v>
      </c>
      <c r="B18">
        <v>48</v>
      </c>
      <c r="C18" s="5">
        <f t="shared" si="4"/>
        <v>29.514476021690481</v>
      </c>
      <c r="D18" s="5">
        <f t="shared" si="5"/>
        <v>2.0125646946014921</v>
      </c>
      <c r="E18" s="5">
        <f t="shared" si="6"/>
        <v>47.627558273103915</v>
      </c>
      <c r="F18" s="3">
        <f t="shared" si="0"/>
        <v>-0.7448834537921698</v>
      </c>
      <c r="G18" s="3">
        <f t="shared" si="1"/>
        <v>-6.7039510841295282</v>
      </c>
      <c r="H18" s="3">
        <f t="shared" si="2"/>
        <v>2.0141825810830221</v>
      </c>
      <c r="I18" s="3">
        <f t="shared" si="3"/>
        <v>29.525023971043243</v>
      </c>
    </row>
    <row r="19" spans="1:9" x14ac:dyDescent="0.2">
      <c r="A19">
        <v>38</v>
      </c>
      <c r="B19">
        <v>106</v>
      </c>
      <c r="C19" s="5">
        <f t="shared" si="4"/>
        <v>29.525023971043243</v>
      </c>
      <c r="D19" s="5">
        <f t="shared" si="5"/>
        <v>2.0141825810830221</v>
      </c>
      <c r="E19" s="5">
        <f t="shared" si="6"/>
        <v>106.06396205219808</v>
      </c>
      <c r="F19" s="3">
        <f t="shared" si="0"/>
        <v>0.12792410439615765</v>
      </c>
      <c r="G19" s="3">
        <f t="shared" si="1"/>
        <v>4.8611159670539905</v>
      </c>
      <c r="H19" s="3">
        <f t="shared" si="2"/>
        <v>2.0130094320385932</v>
      </c>
      <c r="I19" s="3">
        <f t="shared" si="3"/>
        <v>29.523212497090775</v>
      </c>
    </row>
    <row r="20" spans="1:9" x14ac:dyDescent="0.2">
      <c r="A20">
        <v>44</v>
      </c>
      <c r="B20">
        <v>118</v>
      </c>
      <c r="C20" s="5">
        <f t="shared" si="4"/>
        <v>29.523212497090775</v>
      </c>
      <c r="D20" s="5">
        <f t="shared" si="5"/>
        <v>2.0130094320385932</v>
      </c>
      <c r="E20" s="5">
        <f t="shared" si="6"/>
        <v>118.09562750678887</v>
      </c>
      <c r="F20" s="3">
        <f t="shared" si="0"/>
        <v>0.1912550135777451</v>
      </c>
      <c r="G20" s="3">
        <f t="shared" si="1"/>
        <v>8.4152205974207845</v>
      </c>
      <c r="H20" s="3">
        <f t="shared" si="2"/>
        <v>2.0109785592782163</v>
      </c>
      <c r="I20" s="3">
        <f t="shared" si="3"/>
        <v>29.520504223485808</v>
      </c>
    </row>
    <row r="21" spans="1:9" x14ac:dyDescent="0.2">
      <c r="A21">
        <v>99</v>
      </c>
      <c r="B21">
        <v>228</v>
      </c>
      <c r="C21" s="5">
        <f t="shared" si="4"/>
        <v>29.520504223485808</v>
      </c>
      <c r="D21" s="5">
        <f t="shared" si="5"/>
        <v>2.0109785592782163</v>
      </c>
      <c r="E21" s="5">
        <f t="shared" si="6"/>
        <v>228.60738159202921</v>
      </c>
      <c r="F21" s="3">
        <f t="shared" si="0"/>
        <v>1.2147631840584268</v>
      </c>
      <c r="G21" s="3">
        <f t="shared" si="1"/>
        <v>120.26155522178425</v>
      </c>
      <c r="H21" s="3">
        <f t="shared" si="2"/>
        <v>1.9819554441033922</v>
      </c>
      <c r="I21" s="3">
        <f t="shared" si="3"/>
        <v>29.503302525051215</v>
      </c>
    </row>
    <row r="22" spans="1:9" x14ac:dyDescent="0.2">
      <c r="A22">
        <v>13</v>
      </c>
      <c r="B22">
        <v>56</v>
      </c>
      <c r="C22" s="5">
        <f t="shared" si="4"/>
        <v>29.503302525051215</v>
      </c>
      <c r="D22" s="5">
        <f t="shared" si="5"/>
        <v>1.9819554441033922</v>
      </c>
      <c r="E22" s="5">
        <f t="shared" si="6"/>
        <v>55.268723298395315</v>
      </c>
      <c r="F22" s="3">
        <f t="shared" si="0"/>
        <v>-1.4625534032093697</v>
      </c>
      <c r="G22" s="3">
        <f t="shared" si="1"/>
        <v>-19.013194241721806</v>
      </c>
      <c r="H22" s="3">
        <f t="shared" si="2"/>
        <v>1.9865439605690336</v>
      </c>
      <c r="I22" s="3">
        <f t="shared" si="3"/>
        <v>29.524013065934124</v>
      </c>
    </row>
    <row r="23" spans="1:9" x14ac:dyDescent="0.2">
      <c r="A23">
        <v>21</v>
      </c>
      <c r="B23">
        <v>72</v>
      </c>
      <c r="C23" s="5">
        <f t="shared" si="4"/>
        <v>29.524013065934124</v>
      </c>
      <c r="D23" s="5">
        <f t="shared" si="5"/>
        <v>1.9865439605690336</v>
      </c>
      <c r="E23" s="5">
        <f t="shared" si="6"/>
        <v>71.241436237883832</v>
      </c>
      <c r="F23" s="3">
        <f t="shared" si="0"/>
        <v>-1.5171275242323361</v>
      </c>
      <c r="G23" s="3">
        <f t="shared" si="1"/>
        <v>-31.859678008879058</v>
      </c>
      <c r="H23" s="3">
        <f t="shared" si="2"/>
        <v>1.9942327610554338</v>
      </c>
      <c r="I23" s="3">
        <f t="shared" si="3"/>
        <v>29.545496405650987</v>
      </c>
    </row>
    <row r="24" spans="1:9" x14ac:dyDescent="0.2">
      <c r="A24">
        <v>28</v>
      </c>
      <c r="B24">
        <v>86</v>
      </c>
      <c r="C24" s="5">
        <f t="shared" si="4"/>
        <v>29.545496405650987</v>
      </c>
      <c r="D24" s="5">
        <f t="shared" si="5"/>
        <v>1.9942327610554338</v>
      </c>
      <c r="E24" s="5">
        <f t="shared" si="6"/>
        <v>85.384013715203139</v>
      </c>
      <c r="F24" s="3">
        <f t="shared" si="0"/>
        <v>-1.2319725695937223</v>
      </c>
      <c r="G24" s="3">
        <f t="shared" si="1"/>
        <v>-34.495231948624223</v>
      </c>
      <c r="H24" s="3">
        <f t="shared" si="2"/>
        <v>2.0025576084098593</v>
      </c>
      <c r="I24" s="3">
        <f t="shared" si="3"/>
        <v>29.562941798217988</v>
      </c>
    </row>
    <row r="25" spans="1:9" x14ac:dyDescent="0.2">
      <c r="A25">
        <v>20</v>
      </c>
      <c r="B25">
        <v>70</v>
      </c>
      <c r="C25" s="5">
        <f t="shared" si="4"/>
        <v>29.562941798217988</v>
      </c>
      <c r="D25" s="5">
        <f t="shared" si="5"/>
        <v>2.0025576084098593</v>
      </c>
      <c r="E25" s="5">
        <f t="shared" si="6"/>
        <v>69.614093966415169</v>
      </c>
      <c r="F25" s="3">
        <f t="shared" si="0"/>
        <v>-0.77181206716966244</v>
      </c>
      <c r="G25" s="3">
        <f t="shared" si="1"/>
        <v>-15.436241343393249</v>
      </c>
      <c r="H25" s="3">
        <f t="shared" si="2"/>
        <v>2.0062828871121798</v>
      </c>
      <c r="I25" s="3">
        <f t="shared" si="3"/>
        <v>29.573871071183998</v>
      </c>
    </row>
    <row r="26" spans="1:9" x14ac:dyDescent="0.2">
      <c r="A26">
        <v>8</v>
      </c>
      <c r="B26">
        <v>46</v>
      </c>
      <c r="C26" s="5">
        <f t="shared" si="4"/>
        <v>29.573871071183998</v>
      </c>
      <c r="D26" s="5">
        <f t="shared" si="5"/>
        <v>2.0062828871121798</v>
      </c>
      <c r="E26" s="5">
        <f t="shared" si="6"/>
        <v>45.62413416808144</v>
      </c>
      <c r="F26" s="3">
        <f t="shared" si="0"/>
        <v>-0.75173166383711987</v>
      </c>
      <c r="G26" s="3">
        <f t="shared" si="1"/>
        <v>-6.0138533106969589</v>
      </c>
      <c r="H26" s="3">
        <f t="shared" si="2"/>
        <v>2.0077342300368493</v>
      </c>
      <c r="I26" s="3">
        <f t="shared" si="3"/>
        <v>29.584515994865221</v>
      </c>
    </row>
    <row r="27" spans="1:9" x14ac:dyDescent="0.2">
      <c r="A27">
        <v>64</v>
      </c>
      <c r="B27">
        <v>158</v>
      </c>
      <c r="C27" s="5">
        <f t="shared" si="4"/>
        <v>29.584515994865221</v>
      </c>
      <c r="D27" s="5">
        <f t="shared" si="5"/>
        <v>2.0077342300368493</v>
      </c>
      <c r="E27" s="5">
        <f t="shared" si="6"/>
        <v>158.07950671722358</v>
      </c>
      <c r="F27" s="3">
        <f t="shared" si="0"/>
        <v>0.15901343444716076</v>
      </c>
      <c r="G27" s="3">
        <f t="shared" si="1"/>
        <v>10.176859804618289</v>
      </c>
      <c r="H27" s="3">
        <f t="shared" si="2"/>
        <v>2.0052782151143518</v>
      </c>
      <c r="I27" s="3">
        <f t="shared" si="3"/>
        <v>29.582264279319091</v>
      </c>
    </row>
    <row r="28" spans="1:9" x14ac:dyDescent="0.2">
      <c r="A28">
        <v>99</v>
      </c>
      <c r="B28">
        <v>228</v>
      </c>
      <c r="C28" s="5">
        <f t="shared" si="4"/>
        <v>29.582264279319091</v>
      </c>
      <c r="D28" s="5">
        <f t="shared" si="5"/>
        <v>2.0052782151143518</v>
      </c>
      <c r="E28" s="5">
        <f t="shared" si="6"/>
        <v>228.10480757563994</v>
      </c>
      <c r="F28" s="3">
        <f t="shared" si="0"/>
        <v>0.20961515127987695</v>
      </c>
      <c r="G28" s="3">
        <f t="shared" si="1"/>
        <v>20.751899976707818</v>
      </c>
      <c r="H28" s="3">
        <f t="shared" si="2"/>
        <v>2.0002700910965832</v>
      </c>
      <c r="I28" s="3">
        <f t="shared" si="3"/>
        <v>29.579296016313627</v>
      </c>
    </row>
    <row r="29" spans="1:9" x14ac:dyDescent="0.2">
      <c r="A29">
        <v>70</v>
      </c>
      <c r="B29">
        <v>170</v>
      </c>
      <c r="C29" s="5">
        <f t="shared" si="4"/>
        <v>29.579296016313627</v>
      </c>
      <c r="D29" s="5">
        <f t="shared" si="5"/>
        <v>2.0002700910965832</v>
      </c>
      <c r="E29" s="5">
        <f t="shared" si="6"/>
        <v>169.59820239307444</v>
      </c>
      <c r="F29" s="3">
        <f t="shared" si="0"/>
        <v>-0.80359521385111066</v>
      </c>
      <c r="G29" s="3">
        <f t="shared" si="1"/>
        <v>-56.251664969577746</v>
      </c>
      <c r="H29" s="3">
        <f t="shared" si="2"/>
        <v>2.013845489719833</v>
      </c>
      <c r="I29" s="3">
        <f t="shared" si="3"/>
        <v>29.590675355689033</v>
      </c>
    </row>
    <row r="30" spans="1:9" x14ac:dyDescent="0.2">
      <c r="A30">
        <v>27</v>
      </c>
      <c r="B30">
        <v>84</v>
      </c>
      <c r="C30" s="5">
        <f t="shared" si="4"/>
        <v>29.590675355689033</v>
      </c>
      <c r="D30" s="5">
        <f t="shared" si="5"/>
        <v>2.013845489719833</v>
      </c>
      <c r="E30" s="5">
        <f t="shared" si="6"/>
        <v>83.964503578124521</v>
      </c>
      <c r="F30" s="3">
        <f t="shared" si="0"/>
        <v>-7.0992843750957491E-2</v>
      </c>
      <c r="G30" s="3">
        <f t="shared" si="1"/>
        <v>-1.9168067812758522</v>
      </c>
      <c r="H30" s="3">
        <f t="shared" si="2"/>
        <v>2.0143080789810335</v>
      </c>
      <c r="I30" s="3">
        <f t="shared" si="3"/>
        <v>29.591680652445838</v>
      </c>
    </row>
    <row r="31" spans="1:9" x14ac:dyDescent="0.2">
      <c r="A31">
        <v>17</v>
      </c>
      <c r="B31">
        <v>64</v>
      </c>
      <c r="C31" s="5">
        <f t="shared" si="4"/>
        <v>29.591680652445838</v>
      </c>
      <c r="D31" s="5">
        <f t="shared" si="5"/>
        <v>2.0143080789810335</v>
      </c>
      <c r="E31" s="5">
        <f t="shared" si="6"/>
        <v>63.834917995123405</v>
      </c>
      <c r="F31" s="3">
        <f t="shared" si="0"/>
        <v>-0.33016400975319016</v>
      </c>
      <c r="G31" s="3">
        <f t="shared" si="1"/>
        <v>-5.6127881658042327</v>
      </c>
      <c r="H31" s="3">
        <f t="shared" si="2"/>
        <v>2.0156626315401418</v>
      </c>
      <c r="I31" s="3">
        <f t="shared" si="3"/>
        <v>29.596355951964512</v>
      </c>
    </row>
    <row r="32" spans="1:9" x14ac:dyDescent="0.2">
      <c r="A32">
        <v>8</v>
      </c>
      <c r="B32">
        <v>46</v>
      </c>
      <c r="C32" s="5">
        <f t="shared" si="4"/>
        <v>29.596355951964512</v>
      </c>
      <c r="D32" s="5">
        <f t="shared" si="5"/>
        <v>2.0156626315401418</v>
      </c>
      <c r="E32" s="5">
        <f t="shared" si="6"/>
        <v>45.721657004285646</v>
      </c>
      <c r="F32" s="3">
        <f t="shared" si="0"/>
        <v>-0.55668599142870789</v>
      </c>
      <c r="G32" s="3">
        <f t="shared" si="1"/>
        <v>-4.4534879314296631</v>
      </c>
      <c r="H32" s="3">
        <f t="shared" si="2"/>
        <v>2.0167374063750856</v>
      </c>
      <c r="I32" s="3">
        <f t="shared" si="3"/>
        <v>29.604238924277951</v>
      </c>
    </row>
    <row r="33" spans="6:8" x14ac:dyDescent="0.2">
      <c r="F33" s="3">
        <f>SQRT(SUMSQ(F4:F32))/COUNT(F4:F32)</f>
        <v>0.29214010037172083</v>
      </c>
      <c r="G33" s="3">
        <f>SQRT(SUMSQ(G4:G32))/COUNT(G4:G32)</f>
        <v>16.630193282037062</v>
      </c>
      <c r="H33" s="3">
        <f>SUMPRODUCT(histgrad,F2:G2)</f>
        <v>8.1502795969492121E-3</v>
      </c>
    </row>
  </sheetData>
  <pageMargins left="0.7" right="0.7" top="0.75" bottom="0.75" header="0.3" footer="0.3"/>
  <pageSetup paperSize="0" orientation="portrait" horizontalDpi="0" verticalDpi="0" copie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annealing.reset">
                <anchor moveWithCells="1">
                  <from>
                    <xdr:col>0</xdr:col>
                    <xdr:colOff>12700</xdr:colOff>
                    <xdr:row>0</xdr:row>
                    <xdr:rowOff>12700</xdr:rowOff>
                  </from>
                  <to>
                    <xdr:col>0</xdr:col>
                    <xdr:colOff>635000</xdr:colOff>
                    <xdr:row>0</xdr:row>
                    <xdr:rowOff>177800</xdr:rowOff>
                  </to>
                </anchor>
              </controlPr>
            </control>
          </mc:Choice>
          <mc:Fallback/>
        </mc:AlternateContent>
        <mc:AlternateContent xmlns:mc="http://schemas.openxmlformats.org/markup-compatibility/2006">
          <mc:Choice Requires="x14">
            <control shapeId="7170" r:id="rId4" name="Button 2">
              <controlPr defaultSize="0" print="0" autoFill="0" autoPict="0" macro="[0]!annealing.somesteps">
                <anchor moveWithCells="1">
                  <from>
                    <xdr:col>0</xdr:col>
                    <xdr:colOff>12700</xdr:colOff>
                    <xdr:row>1</xdr:row>
                    <xdr:rowOff>12700</xdr:rowOff>
                  </from>
                  <to>
                    <xdr:col>0</xdr:col>
                    <xdr:colOff>635000</xdr:colOff>
                    <xdr:row>1</xdr:row>
                    <xdr:rowOff>177800</xdr:rowOff>
                  </to>
                </anchor>
              </controlPr>
            </control>
          </mc:Choice>
          <mc:Fallback/>
        </mc:AlternateContent>
      </controls>
    </mc:Choice>
    <mc:Fallback/>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dam_ann" enableFormatConditionsCalculation="0"/>
  <dimension ref="A1:O34"/>
  <sheetViews>
    <sheetView tabSelected="1" zoomScale="120" zoomScaleNormal="130" workbookViewId="0">
      <pane xSplit="3" ySplit="3" topLeftCell="D4" activePane="bottomRight" state="frozen"/>
      <selection pane="topRight" activeCell="D1" sqref="D1"/>
      <selection pane="bottomLeft" activeCell="A4" sqref="A4"/>
      <selection pane="bottomRight" activeCell="L21" sqref="L21"/>
    </sheetView>
  </sheetViews>
  <sheetFormatPr baseColWidth="10" defaultColWidth="8.83203125" defaultRowHeight="15" x14ac:dyDescent="0.2"/>
  <cols>
    <col min="3" max="3" width="8.83203125" style="5" customWidth="1"/>
    <col min="4" max="4" width="10.83203125" style="5" bestFit="1" customWidth="1"/>
    <col min="5" max="5" width="9.1640625" style="5" bestFit="1" customWidth="1"/>
    <col min="6" max="6" width="10.83203125" style="7" bestFit="1" customWidth="1"/>
    <col min="7" max="7" width="10.1640625" style="7" bestFit="1" customWidth="1"/>
    <col min="8" max="8" width="8.33203125" bestFit="1" customWidth="1"/>
    <col min="9" max="9" width="5.83203125" bestFit="1" customWidth="1"/>
    <col min="10" max="11" width="6.6640625" customWidth="1"/>
    <col min="12" max="12" width="8.33203125" customWidth="1"/>
    <col min="13" max="13" width="13.1640625" customWidth="1"/>
    <col min="14" max="14" width="8.33203125" customWidth="1"/>
  </cols>
  <sheetData>
    <row r="1" spans="1:15" x14ac:dyDescent="0.2">
      <c r="B1" t="s">
        <v>21</v>
      </c>
      <c r="C1" s="5">
        <v>28.446424135190025</v>
      </c>
      <c r="D1" s="5" t="s">
        <v>14</v>
      </c>
      <c r="I1" t="s">
        <v>24</v>
      </c>
      <c r="J1">
        <v>0.9</v>
      </c>
      <c r="K1">
        <f>1-J1</f>
        <v>9.9999999999999978E-2</v>
      </c>
      <c r="L1">
        <v>0.95</v>
      </c>
      <c r="M1">
        <f>1-L1</f>
        <v>5.0000000000000044E-2</v>
      </c>
    </row>
    <row r="2" spans="1:15" x14ac:dyDescent="0.2">
      <c r="B2" t="s">
        <v>22</v>
      </c>
      <c r="C2" s="5">
        <v>2.4830886573338766</v>
      </c>
      <c r="D2">
        <v>1</v>
      </c>
      <c r="F2" s="9"/>
      <c r="G2" s="9"/>
    </row>
    <row r="3" spans="1:15" s="2" customFormat="1" x14ac:dyDescent="0.2">
      <c r="A3" s="2" t="s">
        <v>15</v>
      </c>
      <c r="B3" s="2" t="s">
        <v>16</v>
      </c>
      <c r="C3" s="6" t="s">
        <v>21</v>
      </c>
      <c r="D3" s="6" t="s">
        <v>22</v>
      </c>
      <c r="E3" s="6" t="s">
        <v>18</v>
      </c>
      <c r="F3" s="8" t="s">
        <v>6</v>
      </c>
      <c r="G3" s="8" t="s">
        <v>9</v>
      </c>
      <c r="H3" s="2" t="s">
        <v>13</v>
      </c>
      <c r="I3" s="2" t="s">
        <v>12</v>
      </c>
      <c r="J3">
        <f>J33</f>
        <v>-13.4713133904794</v>
      </c>
      <c r="K3">
        <f>K33</f>
        <v>-935.67950485416009</v>
      </c>
      <c r="L3">
        <f>L33</f>
        <v>2551.3714893007386</v>
      </c>
      <c r="M3">
        <f>M33</f>
        <v>17754768.400508154</v>
      </c>
      <c r="N3" s="4">
        <v>2215.9864658120587</v>
      </c>
      <c r="O3" s="4"/>
    </row>
    <row r="4" spans="1:15" x14ac:dyDescent="0.2">
      <c r="A4">
        <v>14</v>
      </c>
      <c r="B4">
        <v>58</v>
      </c>
      <c r="C4" s="3">
        <f>C1</f>
        <v>28.446424135190025</v>
      </c>
      <c r="D4" s="3">
        <f>C2</f>
        <v>2.4830886573338766</v>
      </c>
      <c r="E4" s="3">
        <f>C4+D4*A4</f>
        <v>63.209665337864294</v>
      </c>
      <c r="F4" s="7">
        <f t="shared" ref="F4:F32" si="0">2*(D4*A4+C4-B4)</f>
        <v>10.419330675728588</v>
      </c>
      <c r="G4" s="7">
        <f t="shared" ref="G4:G32" si="1">F4*A4</f>
        <v>145.87062946020023</v>
      </c>
      <c r="H4" s="3">
        <f>C4-J4*$D$2/SQRT(L4)</f>
        <v>28.671274446156698</v>
      </c>
      <c r="I4" s="3">
        <f>D4-K4*$D$2/SQRT(M4)</f>
        <v>2.684576038030436</v>
      </c>
      <c r="J4">
        <f>J3*$J$1+$K$1*F4</f>
        <v>-11.082248983858602</v>
      </c>
      <c r="K4">
        <f>K3*$J$1+$K$1*G4</f>
        <v>-827.52449142272405</v>
      </c>
      <c r="L4">
        <f t="shared" ref="L4:M19" si="2">L3*$L$1+$M$1*F4^2</f>
        <v>2429.2310374222106</v>
      </c>
      <c r="M4">
        <f t="shared" si="2"/>
        <v>16868093.892509703</v>
      </c>
    </row>
    <row r="5" spans="1:15" x14ac:dyDescent="0.2">
      <c r="A5">
        <v>86</v>
      </c>
      <c r="B5">
        <v>202</v>
      </c>
      <c r="C5" s="3">
        <f>H4</f>
        <v>28.671274446156698</v>
      </c>
      <c r="D5" s="3">
        <f>I4</f>
        <v>2.684576038030436</v>
      </c>
      <c r="E5" s="3">
        <f>C5+D5*A5</f>
        <v>259.54481371677417</v>
      </c>
      <c r="F5" s="7">
        <f t="shared" si="0"/>
        <v>115.08962743354834</v>
      </c>
      <c r="G5" s="7">
        <f t="shared" si="1"/>
        <v>9897.7079592851569</v>
      </c>
      <c r="H5" s="3">
        <f>C5-J5*$D$2/SQRT(L5)</f>
        <v>28.854290205567349</v>
      </c>
      <c r="I5" s="3">
        <f t="shared" ref="H5:I32" si="3">D5-K5*$D$2/SQRT(M5)</f>
        <v>2.6310145388637767</v>
      </c>
      <c r="J5">
        <f>J4*$J$1+$K$1*Intro!F5</f>
        <v>-9.9740240854727418</v>
      </c>
      <c r="K5">
        <f t="shared" ref="J5:K20" si="4">K4*$J$1+$K$1*G5</f>
        <v>244.99875364806383</v>
      </c>
      <c r="L5">
        <f t="shared" si="2"/>
        <v>2970.0506026907487</v>
      </c>
      <c r="M5">
        <f t="shared" si="2"/>
        <v>20922920.340249058</v>
      </c>
    </row>
    <row r="6" spans="1:15" x14ac:dyDescent="0.2">
      <c r="A6">
        <v>28</v>
      </c>
      <c r="B6">
        <v>86</v>
      </c>
      <c r="C6" s="3">
        <f>H5</f>
        <v>28.854290205567349</v>
      </c>
      <c r="D6" s="3">
        <f>I5</f>
        <v>2.6310145388637767</v>
      </c>
      <c r="E6" s="3">
        <f>C6+D6*A6</f>
        <v>102.5226972937531</v>
      </c>
      <c r="F6" s="7">
        <f>2*(D6*A6+C6-B6)</f>
        <v>33.045394587506195</v>
      </c>
      <c r="G6" s="7">
        <f>F6*A6</f>
        <v>925.27104845017345</v>
      </c>
      <c r="H6" s="3">
        <f>C6-J6*$D$2/SQRT(L6)</f>
        <v>28.960053970942397</v>
      </c>
      <c r="I6" s="3">
        <f t="shared" si="3"/>
        <v>2.5608786520693863</v>
      </c>
      <c r="J6">
        <f t="shared" si="4"/>
        <v>-5.6720822181748494</v>
      </c>
      <c r="K6">
        <f t="shared" si="4"/>
        <v>313.02598312827479</v>
      </c>
      <c r="L6">
        <f t="shared" si="2"/>
        <v>2876.1479777284103</v>
      </c>
      <c r="M6">
        <f t="shared" si="2"/>
        <v>19919580.648891609</v>
      </c>
    </row>
    <row r="7" spans="1:15" x14ac:dyDescent="0.2">
      <c r="A7">
        <v>51</v>
      </c>
      <c r="B7">
        <v>132</v>
      </c>
      <c r="C7" s="3">
        <f t="shared" ref="C7:D32" si="5">H6</f>
        <v>28.960053970942397</v>
      </c>
      <c r="D7" s="3">
        <f t="shared" si="5"/>
        <v>2.5608786520693863</v>
      </c>
      <c r="E7" s="3">
        <f t="shared" ref="E7:E32" si="6">C7+D7*A7</f>
        <v>159.56486522648109</v>
      </c>
      <c r="F7" s="7">
        <f t="shared" si="0"/>
        <v>55.129730452962178</v>
      </c>
      <c r="G7" s="7">
        <f t="shared" si="1"/>
        <v>2811.6162531010709</v>
      </c>
      <c r="H7" s="3">
        <f t="shared" si="3"/>
        <v>28.952455171259402</v>
      </c>
      <c r="I7" s="3">
        <f t="shared" si="3"/>
        <v>2.4328141027570602</v>
      </c>
      <c r="J7">
        <f t="shared" si="4"/>
        <v>0.40809904893885207</v>
      </c>
      <c r="K7">
        <f t="shared" si="4"/>
        <v>562.88501012555434</v>
      </c>
      <c r="L7">
        <f t="shared" si="2"/>
        <v>2884.3049378328028</v>
      </c>
      <c r="M7">
        <f t="shared" si="2"/>
        <v>19318860.914182134</v>
      </c>
    </row>
    <row r="8" spans="1:15" x14ac:dyDescent="0.2">
      <c r="A8">
        <v>28</v>
      </c>
      <c r="B8">
        <v>86</v>
      </c>
      <c r="C8" s="3">
        <f t="shared" si="5"/>
        <v>28.952455171259402</v>
      </c>
      <c r="D8" s="3">
        <f t="shared" si="5"/>
        <v>2.4328141027570602</v>
      </c>
      <c r="E8" s="3">
        <f t="shared" si="6"/>
        <v>97.071250048457088</v>
      </c>
      <c r="F8" s="7">
        <f t="shared" si="0"/>
        <v>22.142500096914176</v>
      </c>
      <c r="G8" s="7">
        <f t="shared" si="1"/>
        <v>619.99000271359694</v>
      </c>
      <c r="H8" s="3">
        <f t="shared" si="3"/>
        <v>28.903357348468877</v>
      </c>
      <c r="I8" s="3">
        <f t="shared" si="3"/>
        <v>2.3001591146987619</v>
      </c>
      <c r="J8">
        <f t="shared" si="4"/>
        <v>2.5815391537363843</v>
      </c>
      <c r="K8">
        <f t="shared" si="4"/>
        <v>568.59550938435859</v>
      </c>
      <c r="L8">
        <f t="shared" si="2"/>
        <v>2764.6042064682547</v>
      </c>
      <c r="M8">
        <f t="shared" si="2"/>
        <v>18372137.248646267</v>
      </c>
    </row>
    <row r="9" spans="1:15" x14ac:dyDescent="0.2">
      <c r="A9">
        <v>29</v>
      </c>
      <c r="B9">
        <v>88</v>
      </c>
      <c r="C9" s="3">
        <f t="shared" si="5"/>
        <v>28.903357348468877</v>
      </c>
      <c r="D9" s="3">
        <f t="shared" si="5"/>
        <v>2.3001591146987619</v>
      </c>
      <c r="E9" s="3">
        <f t="shared" si="6"/>
        <v>95.607971674732966</v>
      </c>
      <c r="F9" s="7">
        <f t="shared" si="0"/>
        <v>15.215943349465931</v>
      </c>
      <c r="G9" s="7">
        <f t="shared" si="1"/>
        <v>441.262357134512</v>
      </c>
      <c r="H9" s="3">
        <f t="shared" si="3"/>
        <v>28.828495467121108</v>
      </c>
      <c r="I9" s="3">
        <f t="shared" si="3"/>
        <v>2.1671429557761721</v>
      </c>
      <c r="J9">
        <f t="shared" si="4"/>
        <v>3.844979573309339</v>
      </c>
      <c r="K9">
        <f t="shared" si="4"/>
        <v>555.86219415937387</v>
      </c>
      <c r="L9">
        <f t="shared" si="2"/>
        <v>2637.9502427455495</v>
      </c>
      <c r="M9">
        <f t="shared" si="2"/>
        <v>17463266.009605147</v>
      </c>
    </row>
    <row r="10" spans="1:15" x14ac:dyDescent="0.2">
      <c r="A10">
        <v>72</v>
      </c>
      <c r="B10">
        <v>174</v>
      </c>
      <c r="C10" s="3">
        <f t="shared" si="5"/>
        <v>28.828495467121108</v>
      </c>
      <c r="D10" s="3">
        <f t="shared" si="5"/>
        <v>2.1671429557761721</v>
      </c>
      <c r="E10" s="3">
        <f t="shared" si="6"/>
        <v>184.8627882830055</v>
      </c>
      <c r="F10" s="7">
        <f t="shared" si="0"/>
        <v>21.725576566011</v>
      </c>
      <c r="G10" s="7">
        <f t="shared" si="1"/>
        <v>1564.241512752792</v>
      </c>
      <c r="H10" s="3">
        <f t="shared" si="3"/>
        <v>28.716496936895961</v>
      </c>
      <c r="I10" s="3">
        <f t="shared" si="3"/>
        <v>2.0065053951823275</v>
      </c>
      <c r="J10">
        <f t="shared" si="4"/>
        <v>5.6330392725795049</v>
      </c>
      <c r="K10">
        <f t="shared" si="4"/>
        <v>656.70012601871565</v>
      </c>
      <c r="L10">
        <f t="shared" si="2"/>
        <v>2529.6527644645521</v>
      </c>
      <c r="M10">
        <f t="shared" si="2"/>
        <v>16712445.284635846</v>
      </c>
    </row>
    <row r="11" spans="1:15" x14ac:dyDescent="0.2">
      <c r="A11">
        <v>62</v>
      </c>
      <c r="B11">
        <v>154</v>
      </c>
      <c r="C11" s="3">
        <f t="shared" si="5"/>
        <v>28.716496936895961</v>
      </c>
      <c r="D11" s="3">
        <f t="shared" si="5"/>
        <v>2.0065053951823275</v>
      </c>
      <c r="E11" s="3">
        <f t="shared" si="6"/>
        <v>153.11983143820026</v>
      </c>
      <c r="F11" s="7">
        <f t="shared" si="0"/>
        <v>-1.76033712359947</v>
      </c>
      <c r="G11" s="7">
        <f t="shared" si="1"/>
        <v>-109.14090166316714</v>
      </c>
      <c r="H11" s="3">
        <f t="shared" si="3"/>
        <v>28.6166737963621</v>
      </c>
      <c r="I11" s="3">
        <f t="shared" si="3"/>
        <v>1.8609176185656893</v>
      </c>
      <c r="J11">
        <f t="shared" si="4"/>
        <v>4.8937016329616068</v>
      </c>
      <c r="K11">
        <f t="shared" si="4"/>
        <v>580.11602325052741</v>
      </c>
      <c r="L11">
        <f t="shared" si="2"/>
        <v>2403.3250655807606</v>
      </c>
      <c r="M11">
        <f t="shared" si="2"/>
        <v>15877418.607224844</v>
      </c>
    </row>
    <row r="12" spans="1:15" x14ac:dyDescent="0.2">
      <c r="A12">
        <v>84</v>
      </c>
      <c r="B12">
        <v>198</v>
      </c>
      <c r="C12" s="3">
        <f t="shared" si="5"/>
        <v>28.6166737963621</v>
      </c>
      <c r="D12" s="3">
        <f t="shared" si="5"/>
        <v>1.8609176185656893</v>
      </c>
      <c r="E12" s="3">
        <f t="shared" si="6"/>
        <v>184.93375375588002</v>
      </c>
      <c r="F12" s="7">
        <f t="shared" si="0"/>
        <v>-26.132492488239961</v>
      </c>
      <c r="G12" s="7">
        <f t="shared" si="1"/>
        <v>-2195.1293690121565</v>
      </c>
      <c r="H12" s="3">
        <f t="shared" si="3"/>
        <v>28.579466852306446</v>
      </c>
      <c r="I12" s="3">
        <f t="shared" si="3"/>
        <v>1.7836204001479417</v>
      </c>
      <c r="J12">
        <f t="shared" si="4"/>
        <v>1.7910822208414507</v>
      </c>
      <c r="K12">
        <f t="shared" si="4"/>
        <v>302.59148402425905</v>
      </c>
      <c r="L12">
        <f t="shared" si="2"/>
        <v>2317.304170484118</v>
      </c>
      <c r="M12">
        <f t="shared" si="2"/>
        <v>15324477.324198587</v>
      </c>
    </row>
    <row r="13" spans="1:15" x14ac:dyDescent="0.2">
      <c r="A13">
        <v>15</v>
      </c>
      <c r="B13">
        <v>60</v>
      </c>
      <c r="C13" s="3">
        <f t="shared" si="5"/>
        <v>28.579466852306446</v>
      </c>
      <c r="D13" s="3">
        <f t="shared" si="5"/>
        <v>1.7836204001479417</v>
      </c>
      <c r="E13" s="3">
        <f t="shared" si="6"/>
        <v>55.33377285452557</v>
      </c>
      <c r="F13" s="7">
        <f t="shared" si="0"/>
        <v>-9.3324542909488599</v>
      </c>
      <c r="G13" s="7">
        <f t="shared" si="1"/>
        <v>-139.98681436423288</v>
      </c>
      <c r="H13" s="3">
        <f t="shared" si="3"/>
        <v>28.565015327104707</v>
      </c>
      <c r="I13" s="3">
        <f t="shared" si="3"/>
        <v>1.7159168043713851</v>
      </c>
      <c r="J13">
        <f t="shared" si="4"/>
        <v>0.67872856966241979</v>
      </c>
      <c r="K13">
        <f t="shared" si="4"/>
        <v>258.33365418540984</v>
      </c>
      <c r="L13">
        <f t="shared" si="2"/>
        <v>2205.7936971145446</v>
      </c>
      <c r="M13">
        <f t="shared" si="2"/>
        <v>14559233.27339845</v>
      </c>
    </row>
    <row r="14" spans="1:15" x14ac:dyDescent="0.2">
      <c r="A14">
        <v>42</v>
      </c>
      <c r="B14">
        <v>114</v>
      </c>
      <c r="C14" s="3">
        <f t="shared" si="5"/>
        <v>28.565015327104707</v>
      </c>
      <c r="D14" s="3">
        <f t="shared" si="5"/>
        <v>1.7159168043713851</v>
      </c>
      <c r="E14" s="3">
        <f t="shared" si="6"/>
        <v>100.63352111070287</v>
      </c>
      <c r="F14" s="7">
        <f t="shared" si="0"/>
        <v>-26.732957778594255</v>
      </c>
      <c r="G14" s="7">
        <f t="shared" si="1"/>
        <v>-1122.7842267009587</v>
      </c>
      <c r="H14" s="3">
        <f t="shared" si="3"/>
        <v>28.609690424456062</v>
      </c>
      <c r="I14" s="3">
        <f t="shared" si="3"/>
        <v>1.6836641792209819</v>
      </c>
      <c r="J14">
        <f t="shared" si="4"/>
        <v>-2.0624400651632468</v>
      </c>
      <c r="K14">
        <f t="shared" si="4"/>
        <v>120.22186609677301</v>
      </c>
      <c r="L14">
        <f t="shared" si="2"/>
        <v>2131.2365638384222</v>
      </c>
      <c r="M14">
        <f t="shared" si="2"/>
        <v>13894303.83071495</v>
      </c>
    </row>
    <row r="15" spans="1:15" x14ac:dyDescent="0.2">
      <c r="A15">
        <v>62</v>
      </c>
      <c r="B15">
        <v>154</v>
      </c>
      <c r="C15" s="3">
        <f t="shared" si="5"/>
        <v>28.609690424456062</v>
      </c>
      <c r="D15" s="3">
        <f>I14</f>
        <v>1.6836641792209819</v>
      </c>
      <c r="E15" s="3">
        <f t="shared" si="6"/>
        <v>132.99686953615694</v>
      </c>
      <c r="F15" s="7">
        <f t="shared" si="0"/>
        <v>-42.006260927686128</v>
      </c>
      <c r="G15" s="7">
        <f t="shared" si="1"/>
        <v>-2604.3881775165401</v>
      </c>
      <c r="H15" s="3">
        <f t="shared" si="3"/>
        <v>28.741456995282121</v>
      </c>
      <c r="I15" s="3">
        <f t="shared" si="3"/>
        <v>1.7250391161627372</v>
      </c>
      <c r="J15">
        <f t="shared" si="4"/>
        <v>-6.0568221514155347</v>
      </c>
      <c r="K15">
        <f t="shared" si="4"/>
        <v>-152.23913826455828</v>
      </c>
      <c r="L15">
        <f t="shared" si="2"/>
        <v>2112.9010335027438</v>
      </c>
      <c r="M15">
        <f t="shared" si="2"/>
        <v>13538730.528138598</v>
      </c>
    </row>
    <row r="16" spans="1:15" x14ac:dyDescent="0.2">
      <c r="A16">
        <v>47</v>
      </c>
      <c r="B16">
        <v>124</v>
      </c>
      <c r="C16" s="3">
        <f t="shared" si="5"/>
        <v>28.741456995282121</v>
      </c>
      <c r="D16" s="3">
        <f t="shared" si="5"/>
        <v>1.7250391161627372</v>
      </c>
      <c r="E16" s="3">
        <f t="shared" si="6"/>
        <v>109.81829545493076</v>
      </c>
      <c r="F16" s="7">
        <f t="shared" si="0"/>
        <v>-28.363409090138475</v>
      </c>
      <c r="G16" s="7">
        <f t="shared" si="1"/>
        <v>-1333.0802272365083</v>
      </c>
      <c r="H16" s="3">
        <f t="shared" si="3"/>
        <v>28.924609427212363</v>
      </c>
      <c r="I16" s="3">
        <f t="shared" si="3"/>
        <v>1.8001560109698496</v>
      </c>
      <c r="J16">
        <f t="shared" si="4"/>
        <v>-8.2874808452878277</v>
      </c>
      <c r="K16">
        <f t="shared" si="4"/>
        <v>-270.32324716175322</v>
      </c>
      <c r="L16">
        <f t="shared" si="2"/>
        <v>2047.4801305883341</v>
      </c>
      <c r="M16">
        <f t="shared" si="2"/>
        <v>12950649.146344114</v>
      </c>
    </row>
    <row r="17" spans="1:13" x14ac:dyDescent="0.2">
      <c r="A17">
        <v>35</v>
      </c>
      <c r="B17">
        <v>100</v>
      </c>
      <c r="C17" s="3">
        <f t="shared" si="5"/>
        <v>28.924609427212363</v>
      </c>
      <c r="D17" s="3">
        <f t="shared" si="5"/>
        <v>1.8001560109698496</v>
      </c>
      <c r="E17" s="3">
        <f t="shared" si="6"/>
        <v>91.930069811157097</v>
      </c>
      <c r="F17" s="7">
        <f t="shared" si="0"/>
        <v>-16.139860377685807</v>
      </c>
      <c r="G17" s="7">
        <f t="shared" si="1"/>
        <v>-564.89511321900318</v>
      </c>
      <c r="H17" s="3">
        <f t="shared" si="3"/>
        <v>29.129639040447827</v>
      </c>
      <c r="I17" s="3">
        <f t="shared" si="3"/>
        <v>1.8855671053738536</v>
      </c>
      <c r="J17">
        <f t="shared" si="4"/>
        <v>-9.0727187985276263</v>
      </c>
      <c r="K17">
        <f t="shared" si="4"/>
        <v>-299.7804337674782</v>
      </c>
      <c r="L17">
        <f t="shared" si="2"/>
        <v>1958.1308787094767</v>
      </c>
      <c r="M17">
        <f t="shared" si="2"/>
        <v>12319072.013473842</v>
      </c>
    </row>
    <row r="18" spans="1:13" x14ac:dyDescent="0.2">
      <c r="A18">
        <v>9</v>
      </c>
      <c r="B18">
        <v>48</v>
      </c>
      <c r="C18" s="3">
        <f t="shared" si="5"/>
        <v>29.129639040447827</v>
      </c>
      <c r="D18" s="3">
        <f t="shared" si="5"/>
        <v>1.8855671053738536</v>
      </c>
      <c r="E18" s="3">
        <f t="shared" si="6"/>
        <v>46.099742988812508</v>
      </c>
      <c r="F18" s="7">
        <f t="shared" si="0"/>
        <v>-3.8005140223749834</v>
      </c>
      <c r="G18" s="7">
        <f t="shared" si="1"/>
        <v>-34.20462620137485</v>
      </c>
      <c r="H18" s="3">
        <f t="shared" si="3"/>
        <v>29.327732640966861</v>
      </c>
      <c r="I18" s="3">
        <f t="shared" si="3"/>
        <v>1.9654336944198842</v>
      </c>
      <c r="J18">
        <f t="shared" si="4"/>
        <v>-8.5454983209123618</v>
      </c>
      <c r="K18">
        <f t="shared" si="4"/>
        <v>-273.22285301086788</v>
      </c>
      <c r="L18">
        <f t="shared" si="2"/>
        <v>1860.9465301157161</v>
      </c>
      <c r="M18">
        <f t="shared" si="2"/>
        <v>11703176.91062283</v>
      </c>
    </row>
    <row r="19" spans="1:13" x14ac:dyDescent="0.2">
      <c r="A19">
        <v>38</v>
      </c>
      <c r="B19">
        <v>106</v>
      </c>
      <c r="C19" s="3">
        <f t="shared" si="5"/>
        <v>29.327732640966861</v>
      </c>
      <c r="D19" s="3">
        <f t="shared" si="5"/>
        <v>1.9654336944198842</v>
      </c>
      <c r="E19" s="3">
        <f t="shared" si="6"/>
        <v>104.01421302892246</v>
      </c>
      <c r="F19" s="7">
        <f t="shared" si="0"/>
        <v>-3.9715739421550893</v>
      </c>
      <c r="G19" s="7">
        <f t="shared" si="1"/>
        <v>-150.91980980189339</v>
      </c>
      <c r="H19" s="3">
        <f t="shared" si="3"/>
        <v>29.520051214436872</v>
      </c>
      <c r="I19" s="3">
        <f t="shared" si="3"/>
        <v>2.0437031258696283</v>
      </c>
      <c r="J19">
        <f t="shared" si="4"/>
        <v>-8.0881058830366346</v>
      </c>
      <c r="K19">
        <f t="shared" si="4"/>
        <v>-260.99254868997042</v>
      </c>
      <c r="L19">
        <f t="shared" si="2"/>
        <v>1768.6878735888306</v>
      </c>
      <c r="M19">
        <f t="shared" si="2"/>
        <v>11119156.904541221</v>
      </c>
    </row>
    <row r="20" spans="1:13" x14ac:dyDescent="0.2">
      <c r="A20">
        <v>44</v>
      </c>
      <c r="B20">
        <v>118</v>
      </c>
      <c r="C20" s="3">
        <f t="shared" si="5"/>
        <v>29.520051214436872</v>
      </c>
      <c r="D20" s="3">
        <f t="shared" si="5"/>
        <v>2.0437031258696283</v>
      </c>
      <c r="E20" s="3">
        <f t="shared" si="6"/>
        <v>119.44298875270053</v>
      </c>
      <c r="F20" s="7">
        <f t="shared" si="0"/>
        <v>2.8859775054010584</v>
      </c>
      <c r="G20" s="7">
        <f t="shared" si="1"/>
        <v>126.98301023764657</v>
      </c>
      <c r="H20" s="3">
        <f t="shared" si="3"/>
        <v>29.690572774994621</v>
      </c>
      <c r="I20" s="3">
        <f t="shared" si="3"/>
        <v>2.112065944839423</v>
      </c>
      <c r="J20">
        <f t="shared" si="4"/>
        <v>-6.9906975441928658</v>
      </c>
      <c r="K20">
        <f t="shared" si="4"/>
        <v>-222.19499279720873</v>
      </c>
      <c r="L20">
        <f t="shared" ref="L20:M32" si="7">L19*$L$1+$M$1*F20^2</f>
        <v>1680.6699232174731</v>
      </c>
      <c r="M20">
        <f t="shared" si="7"/>
        <v>10564005.293558611</v>
      </c>
    </row>
    <row r="21" spans="1:13" x14ac:dyDescent="0.2">
      <c r="A21">
        <v>99</v>
      </c>
      <c r="B21">
        <v>228</v>
      </c>
      <c r="C21" s="3">
        <f t="shared" si="5"/>
        <v>29.690572774994621</v>
      </c>
      <c r="D21" s="3">
        <f t="shared" si="5"/>
        <v>2.112065944839423</v>
      </c>
      <c r="E21" s="3">
        <f t="shared" si="6"/>
        <v>238.78510131409749</v>
      </c>
      <c r="F21" s="7">
        <f t="shared" si="0"/>
        <v>21.570202628194977</v>
      </c>
      <c r="G21" s="7">
        <f t="shared" si="1"/>
        <v>2135.4500601913028</v>
      </c>
      <c r="H21" s="3">
        <f t="shared" si="3"/>
        <v>29.793301092105501</v>
      </c>
      <c r="I21" s="3">
        <f t="shared" si="3"/>
        <v>2.107830394055938</v>
      </c>
      <c r="J21">
        <f t="shared" ref="J21:K32" si="8">J20*$J$1+$K$1*F21</f>
        <v>-4.1346075269540812</v>
      </c>
      <c r="K21">
        <f t="shared" si="8"/>
        <v>13.569512501642379</v>
      </c>
      <c r="L21">
        <f t="shared" si="7"/>
        <v>1619.9001091276689</v>
      </c>
      <c r="M21">
        <f t="shared" si="7"/>
        <v>10263812.376859233</v>
      </c>
    </row>
    <row r="22" spans="1:13" x14ac:dyDescent="0.2">
      <c r="A22">
        <v>13</v>
      </c>
      <c r="B22">
        <v>56</v>
      </c>
      <c r="C22" s="3">
        <f t="shared" si="5"/>
        <v>29.793301092105501</v>
      </c>
      <c r="D22" s="3">
        <f t="shared" si="5"/>
        <v>2.107830394055938</v>
      </c>
      <c r="E22" s="3">
        <f t="shared" si="6"/>
        <v>57.195096214832695</v>
      </c>
      <c r="F22" s="7">
        <f t="shared" si="0"/>
        <v>2.3901924296653903</v>
      </c>
      <c r="G22" s="7">
        <f t="shared" si="1"/>
        <v>31.072501585650073</v>
      </c>
      <c r="H22" s="3">
        <f t="shared" si="3"/>
        <v>29.882057240964784</v>
      </c>
      <c r="I22" s="3">
        <f t="shared" si="3"/>
        <v>2.102924296394372</v>
      </c>
      <c r="J22">
        <f t="shared" si="8"/>
        <v>-3.482127531292134</v>
      </c>
      <c r="K22">
        <f t="shared" si="8"/>
        <v>15.319811410043148</v>
      </c>
      <c r="L22">
        <f t="shared" si="7"/>
        <v>1539.1907546638267</v>
      </c>
      <c r="M22">
        <f t="shared" si="7"/>
        <v>9750670.0330340117</v>
      </c>
    </row>
    <row r="23" spans="1:13" x14ac:dyDescent="0.2">
      <c r="A23">
        <v>21</v>
      </c>
      <c r="B23">
        <v>72</v>
      </c>
      <c r="C23" s="3">
        <f t="shared" si="5"/>
        <v>29.882057240964784</v>
      </c>
      <c r="D23" s="3">
        <f t="shared" si="5"/>
        <v>2.102924296394372</v>
      </c>
      <c r="E23" s="3">
        <f t="shared" si="6"/>
        <v>74.043467465246593</v>
      </c>
      <c r="F23" s="7">
        <f t="shared" si="0"/>
        <v>4.0869349304931859</v>
      </c>
      <c r="G23" s="7">
        <f t="shared" si="1"/>
        <v>85.825633540356904</v>
      </c>
      <c r="H23" s="3">
        <f t="shared" si="3"/>
        <v>29.953304762061762</v>
      </c>
      <c r="I23" s="3">
        <f t="shared" si="3"/>
        <v>2.095574319739685</v>
      </c>
      <c r="J23">
        <f t="shared" si="8"/>
        <v>-2.725221285113602</v>
      </c>
      <c r="K23">
        <f t="shared" si="8"/>
        <v>22.37039362307452</v>
      </c>
      <c r="L23">
        <f t="shared" si="7"/>
        <v>1463.0663687869396</v>
      </c>
      <c r="M23">
        <f t="shared" si="7"/>
        <v>9263504.8333509415</v>
      </c>
    </row>
    <row r="24" spans="1:13" x14ac:dyDescent="0.2">
      <c r="A24">
        <v>28</v>
      </c>
      <c r="B24">
        <v>86</v>
      </c>
      <c r="C24" s="3">
        <f t="shared" si="5"/>
        <v>29.953304762061762</v>
      </c>
      <c r="D24" s="3">
        <f t="shared" si="5"/>
        <v>2.095574319739685</v>
      </c>
      <c r="E24" s="3">
        <f t="shared" si="6"/>
        <v>88.629385714772951</v>
      </c>
      <c r="F24" s="7">
        <f t="shared" si="0"/>
        <v>5.2587714295459023</v>
      </c>
      <c r="G24" s="7">
        <f t="shared" si="1"/>
        <v>147.24560002728526</v>
      </c>
      <c r="H24" s="3">
        <f t="shared" si="3"/>
        <v>30.004962081320297</v>
      </c>
      <c r="I24" s="3">
        <f t="shared" si="3"/>
        <v>2.0838246629484858</v>
      </c>
      <c r="J24">
        <f t="shared" si="8"/>
        <v>-1.9268220136476517</v>
      </c>
      <c r="K24">
        <f t="shared" si="8"/>
        <v>34.857914263495587</v>
      </c>
      <c r="L24">
        <f t="shared" si="7"/>
        <v>1391.2957841950031</v>
      </c>
      <c r="M24">
        <f t="shared" si="7"/>
        <v>8801413.6550197639</v>
      </c>
    </row>
    <row r="25" spans="1:13" x14ac:dyDescent="0.2">
      <c r="A25">
        <v>20</v>
      </c>
      <c r="B25">
        <v>70</v>
      </c>
      <c r="C25" s="3">
        <f t="shared" si="5"/>
        <v>30.004962081320297</v>
      </c>
      <c r="D25" s="3">
        <f t="shared" si="5"/>
        <v>2.0838246629484858</v>
      </c>
      <c r="E25" s="3">
        <f t="shared" si="6"/>
        <v>71.681455340290015</v>
      </c>
      <c r="F25" s="7">
        <f t="shared" si="0"/>
        <v>3.3629106805800291</v>
      </c>
      <c r="G25" s="7">
        <f t="shared" si="1"/>
        <v>67.258213611600581</v>
      </c>
      <c r="H25" s="3">
        <f t="shared" si="3"/>
        <v>30.043403177557437</v>
      </c>
      <c r="I25" s="3">
        <f t="shared" si="3"/>
        <v>2.0706494498485575</v>
      </c>
      <c r="J25">
        <f t="shared" si="8"/>
        <v>-1.3978487442248837</v>
      </c>
      <c r="K25">
        <f t="shared" si="8"/>
        <v>38.097944198306088</v>
      </c>
      <c r="L25">
        <f t="shared" si="7"/>
        <v>1322.2964533975307</v>
      </c>
      <c r="M25">
        <f t="shared" si="7"/>
        <v>8361569.1556336861</v>
      </c>
    </row>
    <row r="26" spans="1:13" x14ac:dyDescent="0.2">
      <c r="A26">
        <v>8</v>
      </c>
      <c r="B26">
        <v>46</v>
      </c>
      <c r="C26" s="3">
        <f t="shared" si="5"/>
        <v>30.043403177557437</v>
      </c>
      <c r="D26" s="3">
        <f t="shared" si="5"/>
        <v>2.0706494498485575</v>
      </c>
      <c r="E26" s="3">
        <f t="shared" si="6"/>
        <v>46.6085987763459</v>
      </c>
      <c r="F26" s="7">
        <f t="shared" si="0"/>
        <v>1.2171975526918004</v>
      </c>
      <c r="G26" s="7">
        <f t="shared" si="1"/>
        <v>9.7375804215344033</v>
      </c>
      <c r="H26" s="3">
        <f t="shared" si="3"/>
        <v>30.075463718277195</v>
      </c>
      <c r="I26" s="3">
        <f t="shared" si="3"/>
        <v>2.0581382206399184</v>
      </c>
      <c r="J26">
        <f t="shared" si="8"/>
        <v>-1.1363441145332154</v>
      </c>
      <c r="K26">
        <f t="shared" si="8"/>
        <v>35.26190782062892</v>
      </c>
      <c r="L26">
        <f t="shared" si="7"/>
        <v>1256.2557092217683</v>
      </c>
      <c r="M26">
        <f t="shared" si="7"/>
        <v>7943495.4388756249</v>
      </c>
    </row>
    <row r="27" spans="1:13" x14ac:dyDescent="0.2">
      <c r="A27">
        <v>64</v>
      </c>
      <c r="B27">
        <v>158</v>
      </c>
      <c r="C27" s="3">
        <f t="shared" si="5"/>
        <v>30.075463718277195</v>
      </c>
      <c r="D27" s="3">
        <f t="shared" si="5"/>
        <v>2.0581382206399184</v>
      </c>
      <c r="E27" s="3">
        <f t="shared" si="6"/>
        <v>161.79630983923198</v>
      </c>
      <c r="F27" s="7">
        <f t="shared" si="0"/>
        <v>7.5926196784639615</v>
      </c>
      <c r="G27" s="7">
        <f t="shared" si="1"/>
        <v>485.92765942169353</v>
      </c>
      <c r="H27" s="3">
        <f t="shared" si="3"/>
        <v>30.083080470405928</v>
      </c>
      <c r="I27" s="3">
        <f t="shared" si="3"/>
        <v>2.0289194140196729</v>
      </c>
      <c r="J27">
        <f t="shared" si="8"/>
        <v>-0.26344773523349796</v>
      </c>
      <c r="K27">
        <f t="shared" si="8"/>
        <v>80.328482980735373</v>
      </c>
      <c r="L27">
        <f t="shared" si="7"/>
        <v>1196.3253174397698</v>
      </c>
      <c r="M27">
        <f t="shared" si="7"/>
        <v>7558126.951441396</v>
      </c>
    </row>
    <row r="28" spans="1:13" x14ac:dyDescent="0.2">
      <c r="A28">
        <v>99</v>
      </c>
      <c r="B28">
        <v>228</v>
      </c>
      <c r="C28" s="3">
        <f t="shared" si="5"/>
        <v>30.083080470405928</v>
      </c>
      <c r="D28" s="3">
        <f t="shared" si="5"/>
        <v>2.0289194140196729</v>
      </c>
      <c r="E28" s="3">
        <f t="shared" si="6"/>
        <v>230.94610245835352</v>
      </c>
      <c r="F28" s="7">
        <f t="shared" si="0"/>
        <v>5.892204916707044</v>
      </c>
      <c r="G28" s="7">
        <f t="shared" si="1"/>
        <v>583.32828675399742</v>
      </c>
      <c r="H28" s="3">
        <f t="shared" si="3"/>
        <v>30.072643612288044</v>
      </c>
      <c r="I28" s="3">
        <f t="shared" si="3"/>
        <v>1.9802277069492515</v>
      </c>
      <c r="J28">
        <f t="shared" si="8"/>
        <v>0.35211752996055606</v>
      </c>
      <c r="K28">
        <f t="shared" si="8"/>
        <v>130.62846335806157</v>
      </c>
      <c r="L28">
        <f t="shared" si="7"/>
        <v>1138.2449555068047</v>
      </c>
      <c r="M28">
        <f t="shared" si="7"/>
        <v>7197234.1983756935</v>
      </c>
    </row>
    <row r="29" spans="1:13" x14ac:dyDescent="0.2">
      <c r="A29">
        <v>70</v>
      </c>
      <c r="B29">
        <v>170</v>
      </c>
      <c r="C29" s="3">
        <f t="shared" si="5"/>
        <v>30.072643612288044</v>
      </c>
      <c r="D29" s="3">
        <f t="shared" si="5"/>
        <v>1.9802277069492515</v>
      </c>
      <c r="E29" s="3">
        <f t="shared" si="6"/>
        <v>168.68858309873565</v>
      </c>
      <c r="F29" s="7">
        <f t="shared" si="0"/>
        <v>-2.622833802528703</v>
      </c>
      <c r="G29" s="7">
        <f t="shared" si="1"/>
        <v>-183.59836617700921</v>
      </c>
      <c r="H29" s="3">
        <f t="shared" si="3"/>
        <v>30.070982794374036</v>
      </c>
      <c r="I29" s="3">
        <f t="shared" si="3"/>
        <v>1.9422928162237831</v>
      </c>
      <c r="J29">
        <f t="shared" si="8"/>
        <v>5.4622396711630217E-2</v>
      </c>
      <c r="K29">
        <f t="shared" si="8"/>
        <v>99.205780404554488</v>
      </c>
      <c r="L29">
        <f t="shared" si="7"/>
        <v>1081.6766705892487</v>
      </c>
      <c r="M29">
        <f t="shared" si="7"/>
        <v>6839057.9064600524</v>
      </c>
    </row>
    <row r="30" spans="1:13" x14ac:dyDescent="0.2">
      <c r="A30">
        <v>27</v>
      </c>
      <c r="B30">
        <v>84</v>
      </c>
      <c r="C30" s="3">
        <f t="shared" si="5"/>
        <v>30.070982794374036</v>
      </c>
      <c r="D30" s="3">
        <f t="shared" si="5"/>
        <v>1.9422928162237831</v>
      </c>
      <c r="E30" s="3">
        <f t="shared" si="6"/>
        <v>82.512888832416181</v>
      </c>
      <c r="F30" s="7">
        <f t="shared" si="0"/>
        <v>-2.9742223351676387</v>
      </c>
      <c r="G30" s="7">
        <f t="shared" si="1"/>
        <v>-80.304003049526244</v>
      </c>
      <c r="H30" s="3">
        <f t="shared" si="3"/>
        <v>30.078725743472333</v>
      </c>
      <c r="I30" s="3">
        <f t="shared" si="3"/>
        <v>1.9104157520083584</v>
      </c>
      <c r="J30">
        <f t="shared" si="8"/>
        <v>-0.24826207647629658</v>
      </c>
      <c r="K30">
        <f t="shared" si="8"/>
        <v>81.254802059146414</v>
      </c>
      <c r="L30">
        <f t="shared" si="7"/>
        <v>1028.0351369847367</v>
      </c>
      <c r="M30">
        <f t="shared" si="7"/>
        <v>6497427.4477823386</v>
      </c>
    </row>
    <row r="31" spans="1:13" x14ac:dyDescent="0.2">
      <c r="A31">
        <v>17</v>
      </c>
      <c r="B31">
        <v>64</v>
      </c>
      <c r="C31" s="3">
        <f t="shared" si="5"/>
        <v>30.078725743472333</v>
      </c>
      <c r="D31" s="3">
        <f t="shared" si="5"/>
        <v>1.9104157520083584</v>
      </c>
      <c r="E31" s="3">
        <f t="shared" si="6"/>
        <v>62.555793527614426</v>
      </c>
      <c r="F31" s="7">
        <f t="shared" si="0"/>
        <v>-2.8884129447711473</v>
      </c>
      <c r="G31" s="7">
        <f t="shared" si="1"/>
        <v>-49.103020061109504</v>
      </c>
      <c r="H31" s="3">
        <f t="shared" si="3"/>
        <v>30.095114518152695</v>
      </c>
      <c r="I31" s="3">
        <f t="shared" si="3"/>
        <v>1.8829577639225794</v>
      </c>
      <c r="J31">
        <f t="shared" si="8"/>
        <v>-0.51227716330578155</v>
      </c>
      <c r="K31">
        <f t="shared" si="8"/>
        <v>68.219019847120819</v>
      </c>
      <c r="L31">
        <f t="shared" si="7"/>
        <v>977.05052660247588</v>
      </c>
      <c r="M31">
        <f t="shared" si="7"/>
        <v>6172676.6307221772</v>
      </c>
    </row>
    <row r="32" spans="1:13" x14ac:dyDescent="0.2">
      <c r="A32">
        <v>8</v>
      </c>
      <c r="B32">
        <v>46</v>
      </c>
      <c r="C32" s="3">
        <f t="shared" si="5"/>
        <v>30.095114518152695</v>
      </c>
      <c r="D32" s="3">
        <f t="shared" si="5"/>
        <v>1.8829577639225794</v>
      </c>
      <c r="E32" s="3">
        <f t="shared" si="6"/>
        <v>45.158776629533328</v>
      </c>
      <c r="F32" s="7">
        <f t="shared" si="0"/>
        <v>-1.6824467409333437</v>
      </c>
      <c r="G32" s="7">
        <f t="shared" si="1"/>
        <v>-13.459573927466749</v>
      </c>
      <c r="H32" s="3">
        <f t="shared" si="3"/>
        <v>30.115768331709674</v>
      </c>
      <c r="I32" s="3">
        <f t="shared" si="3"/>
        <v>1.8581594300224809</v>
      </c>
      <c r="J32">
        <f t="shared" si="8"/>
        <v>-0.62929412106853766</v>
      </c>
      <c r="K32">
        <f t="shared" si="8"/>
        <v>60.051160469662065</v>
      </c>
      <c r="L32">
        <f t="shared" si="7"/>
        <v>928.33953162415594</v>
      </c>
      <c r="M32">
        <f t="shared" si="7"/>
        <v>5864051.8571925834</v>
      </c>
    </row>
    <row r="33" spans="1:15" x14ac:dyDescent="0.2">
      <c r="A33" s="7"/>
      <c r="B33" s="7"/>
      <c r="F33" s="7">
        <f>SQRT(SUMSQ(F4:F32))/COUNT(F4:F32)</f>
        <v>5.3065915708984415</v>
      </c>
      <c r="G33" s="7">
        <f>SQRT(SUMSQ(G4:G32))/COUNT(G4:G32)</f>
        <v>393.1895766697902</v>
      </c>
      <c r="H33" s="3"/>
      <c r="J33">
        <v>-13.4713133904794</v>
      </c>
      <c r="K33">
        <v>-935.67950485416009</v>
      </c>
      <c r="L33" s="7">
        <v>2551.3714893007386</v>
      </c>
      <c r="M33" s="7">
        <v>17754768.400508154</v>
      </c>
      <c r="N33" s="3">
        <f>SQRT(L33)+SQRT(M33)</f>
        <v>4264.1518562469619</v>
      </c>
      <c r="O33" s="10"/>
    </row>
    <row r="34" spans="1:15" x14ac:dyDescent="0.2">
      <c r="K34">
        <f>1/K3</f>
        <v>-1.0687420156283804E-3</v>
      </c>
      <c r="L34">
        <f>1/L3</f>
        <v>3.9194605889167193E-4</v>
      </c>
      <c r="N34">
        <f>avg_grad2/prev_grad2</f>
        <v>1.9242680052580301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9153" r:id="rId3" name="Button 1">
              <controlPr defaultSize="0" print="0" autoFill="0" autoPict="0" macro="[0]!adam_ann.reset">
                <anchor moveWithCells="1">
                  <from>
                    <xdr:col>0</xdr:col>
                    <xdr:colOff>12700</xdr:colOff>
                    <xdr:row>0</xdr:row>
                    <xdr:rowOff>12700</xdr:rowOff>
                  </from>
                  <to>
                    <xdr:col>0</xdr:col>
                    <xdr:colOff>635000</xdr:colOff>
                    <xdr:row>0</xdr:row>
                    <xdr:rowOff>177800</xdr:rowOff>
                  </to>
                </anchor>
              </controlPr>
            </control>
          </mc:Choice>
          <mc:Fallback/>
        </mc:AlternateContent>
        <mc:AlternateContent xmlns:mc="http://schemas.openxmlformats.org/markup-compatibility/2006">
          <mc:Choice Requires="x14">
            <control shapeId="49154" r:id="rId4" name="Button 2">
              <controlPr defaultSize="0" print="0" autoFill="0" autoPict="0" macro="[0]!adam_ann.somesteps">
                <anchor moveWithCells="1">
                  <from>
                    <xdr:col>0</xdr:col>
                    <xdr:colOff>12700</xdr:colOff>
                    <xdr:row>1</xdr:row>
                    <xdr:rowOff>12700</xdr:rowOff>
                  </from>
                  <to>
                    <xdr:col>0</xdr:col>
                    <xdr:colOff>635000</xdr:colOff>
                    <xdr:row>1</xdr:row>
                    <xdr:rowOff>177800</xdr:rowOff>
                  </to>
                </anchor>
              </controlPr>
            </control>
          </mc:Choice>
          <mc:Fallback/>
        </mc:AlternateContent>
      </controls>
    </mc:Choice>
    <mc:Fallback/>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10</vt:i4>
      </vt:variant>
    </vt:vector>
  </HeadingPairs>
  <TitlesOfParts>
    <vt:vector size="10" baseType="lpstr">
      <vt:lpstr>Intro</vt:lpstr>
      <vt:lpstr>data</vt:lpstr>
      <vt:lpstr>basic SGD</vt:lpstr>
      <vt:lpstr>momentum</vt:lpstr>
      <vt:lpstr>adagrad</vt:lpstr>
      <vt:lpstr>rmsprop</vt:lpstr>
      <vt:lpstr>adam</vt:lpstr>
      <vt:lpstr>eve</vt:lpstr>
      <vt:lpstr>adagrad_ann</vt:lpstr>
      <vt:lpstr>adam_ann</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Jeremy Howard</dc:creator>
  <cp:lastModifiedBy>Microsoft Office User</cp:lastModifiedBy>
  <dcterms:created xsi:type="dcterms:W3CDTF">2014-03-27T15:29:57Z</dcterms:created>
  <dcterms:modified xsi:type="dcterms:W3CDTF">2017-09-12T19:18:00Z</dcterms:modified>
</cp:coreProperties>
</file>